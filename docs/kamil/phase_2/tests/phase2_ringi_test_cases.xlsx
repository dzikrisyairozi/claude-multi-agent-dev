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s" sheetId="1" state="visible" r:id="rId1"/>
    <sheet xmlns:r="http://schemas.openxmlformats.org/officeDocument/2006/relationships" name="Summary" sheetId="2" state="visible" r:id="rId2"/>
    <sheet xmlns:r="http://schemas.openxmlformats.org/officeDocument/2006/relationships" name="Actionable Test Cases" sheetId="3" state="visible" r:id="rId3"/>
    <sheet xmlns:r="http://schemas.openxmlformats.org/officeDocument/2006/relationships" name="テストケース" sheetId="4" state="visible" r:id="rId4"/>
    <sheet xmlns:r="http://schemas.openxmlformats.org/officeDocument/2006/relationships" name="サマリー" sheetId="5" state="visible" r:id="rId5"/>
    <sheet xmlns:r="http://schemas.openxmlformats.org/officeDocument/2006/relationships" name="実行可能テストケース" sheetId="6" state="visible" r:id="rId6"/>
    <sheet xmlns:r="http://schemas.openxmlformats.org/officeDocument/2006/relationships" name="Actionable Test Bugs" sheetId="7" state="visible" r:id="rId7"/>
    <sheet xmlns:r="http://schemas.openxmlformats.org/officeDocument/2006/relationships" name="実行可能テストバグ" sheetId="8" state="visible" r:id="rId8"/>
  </sheets>
  <definedNames>
    <definedName name="_xlnm._FilterDatabase" localSheetId="0" hidden="1">'Test Cases'!$A$1:$O$111</definedName>
    <definedName name="_xlnm._FilterDatabase" localSheetId="2" hidden="1">'Actionable Test Cases'!$A$1:$M$44</definedName>
    <definedName name="_xlnm._FilterDatabase" localSheetId="3" hidden="1">'テストケース'!$A$1:$O$111</definedName>
    <definedName name="_xlnm._FilterDatabase" localSheetId="5" hidden="1">'実行可能テストケース'!$A$1:$M$44</definedName>
    <definedName name="_xlnm._FilterDatabase" localSheetId="6" hidden="1">'Actionable Test Bugs'!$A$1:$I$29</definedName>
    <definedName name="_xlnm._FilterDatabase" localSheetId="7" hidden="1">'実行可能テストバグ'!$A$1:$I$29</definedName>
  </definedNames>
  <calcPr calcId="124519" fullCalcOnLoad="1"/>
</workbook>
</file>

<file path=xl/styles.xml><?xml version="1.0" encoding="utf-8"?>
<styleSheet xmlns="http://schemas.openxmlformats.org/spreadsheetml/2006/main">
  <numFmts count="1">
    <numFmt numFmtId="164" formatCode="0.0%"/>
  </numFmts>
  <fonts count="35">
    <font>
      <name val="Calibri"/>
      <color theme="1"/>
      <sz val="11"/>
      <scheme val="minor"/>
    </font>
    <font>
      <name val="Arial"/>
      <b val="1"/>
      <color rgb="FFFFFFFF"/>
      <sz val="10"/>
    </font>
    <font>
      <name val="Arial"/>
      <b val="1"/>
      <color rgb="FFFFFFFF"/>
      <sz val="11"/>
    </font>
    <font>
      <name val="Calibri"/>
      <color theme="1"/>
      <sz val="11"/>
    </font>
    <font>
      <name val="Arial"/>
      <color theme="1"/>
      <sz val="9"/>
    </font>
    <font>
      <name val="Arial"/>
      <b val="1"/>
      <color rgb="FFCC0000"/>
      <sz val="9"/>
    </font>
    <font>
      <name val="Arial"/>
      <b val="1"/>
      <color rgb="FF375623"/>
      <sz val="10"/>
    </font>
    <font>
      <name val="Arial"/>
      <color theme="1"/>
      <sz val="10"/>
    </font>
    <font>
      <name val="Arial"/>
      <color rgb="FFE67300"/>
      <sz val="9"/>
    </font>
    <font>
      <name val="Arial"/>
      <color rgb="FF336699"/>
      <sz val="9"/>
    </font>
    <font>
      <name val="Arial"/>
      <color rgb="FF808080"/>
      <sz val="9"/>
    </font>
    <font>
      <name val="Arial"/>
      <b val="1"/>
      <color theme="1"/>
      <sz val="10"/>
    </font>
    <font>
      <name val="Arial"/>
      <b val="1"/>
      <color theme="1"/>
      <sz val="11"/>
    </font>
    <font>
      <name val="Calibri"/>
      <color theme="1"/>
    </font>
    <font>
      <name val="Arial"/>
      <i val="1"/>
      <color theme="1"/>
      <sz val="9"/>
    </font>
    <font>
      <name val="Arial"/>
      <b val="1"/>
      <color rgb="FFC00000"/>
      <sz val="10"/>
    </font>
    <font>
      <name val="Arial"/>
      <color rgb="FF4A86E8"/>
      <sz val="10"/>
      <u val="single"/>
    </font>
    <font>
      <color rgb="FF4A86E8"/>
      <u val="single"/>
    </font>
    <font>
      <color rgb="FF4A86E8"/>
      <u val="single"/>
    </font>
    <font>
      <name val="Arial"/>
      <color rgb="FF2E75B6"/>
      <sz val="10"/>
    </font>
    <font>
      <name val="Arial"/>
      <color rgb="FFED7D31"/>
      <sz val="10"/>
    </font>
    <font>
      <name val="Arial"/>
      <color rgb="FF4A86E8"/>
      <sz val="10"/>
      <u val="single"/>
    </font>
    <font>
      <name val="Arial"/>
      <color rgb="FFBF6000"/>
      <sz val="10"/>
    </font>
    <font>
      <name val="Arial"/>
      <color rgb="FF808080"/>
      <sz val="10"/>
    </font>
    <font>
      <name val="Arial"/>
      <color rgb="FF0000FF"/>
      <sz val="10"/>
      <u val="single"/>
    </font>
    <font>
      <name val="Arial"/>
      <color rgb="FF000000"/>
      <sz val="10"/>
      <u val="single"/>
    </font>
    <font>
      <color rgb="FF0000FF"/>
      <u val="single"/>
    </font>
    <font>
      <name val="Arial"/>
      <color theme="1"/>
      <sz val="10"/>
      <u val="single"/>
    </font>
    <font>
      <name val="Arial"/>
      <color rgb="FF0000FF"/>
      <sz val="10"/>
      <u val="single"/>
    </font>
    <font>
      <name val="Arial"/>
      <b val="1"/>
      <color rgb="FF1F4E79"/>
      <sz val="12"/>
    </font>
    <font>
      <name val="Arial"/>
      <sz val="10"/>
    </font>
    <font>
      <name val="Arial"/>
      <b val="1"/>
      <sz val="10"/>
    </font>
    <font>
      <name val="Arial"/>
      <b val="1"/>
      <color rgb="FF1F4E79"/>
      <sz val="10"/>
    </font>
    <font>
      <name val="Arial"/>
      <b val="1"/>
      <color rgb="FF333333"/>
      <sz val="9"/>
    </font>
    <font>
      <name val="Arial"/>
      <i val="1"/>
      <color rgb="FF555555"/>
      <sz val="9"/>
    </font>
  </fonts>
  <fills count="12">
    <fill>
      <patternFill/>
    </fill>
    <fill>
      <patternFill patternType="lightGray"/>
    </fill>
    <fill>
      <patternFill patternType="solid">
        <fgColor rgb="FF1F4E79"/>
        <bgColor rgb="FF1F4E79"/>
      </patternFill>
    </fill>
    <fill>
      <patternFill patternType="solid">
        <fgColor rgb="FFC6EFCE"/>
        <bgColor rgb="FFC6EFCE"/>
      </patternFill>
    </fill>
    <fill>
      <patternFill patternType="solid">
        <fgColor rgb="FFE2EFDA"/>
        <bgColor rgb="FFE2EFDA"/>
      </patternFill>
    </fill>
    <fill>
      <patternFill patternType="solid">
        <fgColor rgb="FFF2F2F2"/>
        <bgColor rgb="FFF2F2F2"/>
      </patternFill>
    </fill>
    <fill>
      <patternFill patternType="solid">
        <fgColor rgb="FFFFC7CE"/>
        <bgColor rgb="FFFFC7CE"/>
      </patternFill>
    </fill>
    <fill>
      <patternFill patternType="solid">
        <fgColor rgb="FFFFEB9C"/>
        <bgColor rgb="FFFFEB9C"/>
      </patternFill>
    </fill>
    <fill>
      <patternFill patternType="solid">
        <fgColor rgb="FFE8EDF3"/>
        <bgColor rgb="FFE8EDF3"/>
      </patternFill>
    </fill>
    <fill>
      <patternFill patternType="solid">
        <fgColor rgb="FFFF9933"/>
        <bgColor rgb="FFFF9933"/>
      </patternFill>
    </fill>
    <fill>
      <patternFill patternType="solid">
        <fgColor rgb="FFFFFF66"/>
        <bgColor rgb="FFFFFF66"/>
      </patternFill>
    </fill>
    <fill>
      <patternFill patternType="solid">
        <fgColor rgb="FFFF4444"/>
        <bgColor rgb="FFFF4444"/>
      </patternFill>
    </fill>
  </fills>
  <borders count="7">
    <border/>
    <border>
      <left style="thin">
        <color rgb="FFD9D9D9"/>
      </left>
      <right style="thin">
        <color rgb="FFD9D9D9"/>
      </right>
      <top style="thin">
        <color rgb="FFD9D9D9"/>
      </top>
      <bottom style="thin">
        <color rgb="FFD9D9D9"/>
      </bottom>
    </border>
    <border>
      <left style="thin">
        <color rgb="FF000000"/>
      </left>
      <right style="thin">
        <color rgb="FF000000"/>
      </right>
      <top style="medium">
        <color rgb="FF000000"/>
      </top>
      <bottom style="medium">
        <color rgb="FF000000"/>
      </bottom>
    </border>
    <border>
      <left/>
      <right/>
      <top/>
      <bottom/>
    </border>
    <border>
      <left style="thin">
        <color rgb="FFD9D9D9"/>
      </left>
      <right style="thin">
        <color rgb="FFD9D9D9"/>
      </right>
      <top style="thin">
        <color rgb="FFD9D9D9"/>
      </top>
    </border>
    <border>
      <left style="thin">
        <color rgb="FF000000"/>
      </left>
      <right style="thin">
        <color rgb="FF000000"/>
      </right>
      <top style="thin">
        <color rgb="FF000000"/>
      </top>
      <bottom style="thin">
        <color rgb="FF000000"/>
      </bottom>
    </border>
    <border>
      <left style="thin"/>
      <right style="thin"/>
      <top style="thin"/>
      <bottom style="thin"/>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0" pivotButton="0" quotePrefix="0" xfId="0"/>
    <xf numFmtId="0" fontId="4" fillId="0" borderId="1" applyAlignment="1" pivotButton="0" quotePrefix="0" xfId="0">
      <alignment vertical="top" wrapText="1"/>
    </xf>
    <xf numFmtId="0" fontId="5" fillId="0" borderId="1" applyAlignment="1" pivotButton="0" quotePrefix="0" xfId="0">
      <alignment horizontal="center" vertical="top"/>
    </xf>
    <xf numFmtId="0" fontId="4" fillId="3" borderId="1" applyAlignment="1" pivotButton="0" quotePrefix="0" xfId="0">
      <alignment vertical="top" wrapText="1"/>
    </xf>
    <xf numFmtId="0" fontId="6" fillId="4" borderId="1" applyAlignment="1" pivotButton="0" quotePrefix="0" xfId="0">
      <alignment horizontal="center" vertical="top" wrapText="1"/>
    </xf>
    <xf numFmtId="0" fontId="7" fillId="5" borderId="1" applyAlignment="1" pivotButton="0" quotePrefix="0" xfId="0">
      <alignment vertical="top" wrapText="1"/>
    </xf>
    <xf numFmtId="0" fontId="8" fillId="0" borderId="1" applyAlignment="1" pivotButton="0" quotePrefix="0" xfId="0">
      <alignment horizontal="center" vertical="top"/>
    </xf>
    <xf numFmtId="0" fontId="4" fillId="6" borderId="1" applyAlignment="1" pivotButton="0" quotePrefix="0" xfId="0">
      <alignment vertical="top" wrapText="1"/>
    </xf>
    <xf numFmtId="0" fontId="9" fillId="0" borderId="1" applyAlignment="1" pivotButton="0" quotePrefix="0" xfId="0">
      <alignment horizontal="center" vertical="top"/>
    </xf>
    <xf numFmtId="0" fontId="4" fillId="7" borderId="1" applyAlignment="1" pivotButton="0" quotePrefix="0" xfId="0">
      <alignment vertical="top" wrapText="1"/>
    </xf>
    <xf numFmtId="0" fontId="4" fillId="0" borderId="1" applyAlignment="1" pivotButton="0" quotePrefix="0" xfId="0">
      <alignment vertical="top" wrapText="1"/>
    </xf>
    <xf numFmtId="0" fontId="10" fillId="0" borderId="1" applyAlignment="1" pivotButton="0" quotePrefix="0" xfId="0">
      <alignment horizontal="center" vertical="top"/>
    </xf>
    <xf numFmtId="0" fontId="11" fillId="0" borderId="1" applyAlignment="1" pivotButton="0" quotePrefix="0" xfId="0">
      <alignment horizontal="left" vertical="center"/>
    </xf>
    <xf numFmtId="0" fontId="3" fillId="0" borderId="1" applyAlignment="1" pivotButton="0" quotePrefix="0" xfId="0">
      <alignment horizontal="center" vertical="center"/>
    </xf>
    <xf numFmtId="0" fontId="3" fillId="3" borderId="1" applyAlignment="1" pivotButton="0" quotePrefix="0" xfId="0">
      <alignment horizontal="center" vertical="center"/>
    </xf>
    <xf numFmtId="0" fontId="3" fillId="7" borderId="1" applyAlignment="1" pivotButton="0" quotePrefix="0" xfId="0">
      <alignment horizontal="center" vertical="center"/>
    </xf>
    <xf numFmtId="0" fontId="3" fillId="6" borderId="1" applyAlignment="1" pivotButton="0" quotePrefix="0" xfId="0">
      <alignment horizontal="center" vertical="center"/>
    </xf>
    <xf numFmtId="164" fontId="3" fillId="0" borderId="1" applyAlignment="1" pivotButton="0" quotePrefix="0" xfId="0">
      <alignment horizontal="center" vertical="center"/>
    </xf>
    <xf numFmtId="0" fontId="12" fillId="0" borderId="2" applyAlignment="1" pivotButton="0" quotePrefix="0" xfId="0">
      <alignment horizontal="left" vertical="center"/>
    </xf>
    <xf numFmtId="0" fontId="11" fillId="0" borderId="2" applyAlignment="1" pivotButton="0" quotePrefix="0" xfId="0">
      <alignment horizontal="center" vertical="center"/>
    </xf>
    <xf numFmtId="0" fontId="11" fillId="3" borderId="2" applyAlignment="1" pivotButton="0" quotePrefix="0" xfId="0">
      <alignment horizontal="center" vertical="center"/>
    </xf>
    <xf numFmtId="0" fontId="11" fillId="7" borderId="2" applyAlignment="1" pivotButton="0" quotePrefix="0" xfId="0">
      <alignment horizontal="center" vertical="center"/>
    </xf>
    <xf numFmtId="0" fontId="11" fillId="6" borderId="2" applyAlignment="1" pivotButton="0" quotePrefix="0" xfId="0">
      <alignment horizontal="center" vertical="center"/>
    </xf>
    <xf numFmtId="164" fontId="11" fillId="0" borderId="2" applyAlignment="1" pivotButton="0" quotePrefix="0" xfId="0">
      <alignment horizontal="center" vertical="center"/>
    </xf>
    <xf numFmtId="0" fontId="11" fillId="0" borderId="0" pivotButton="0" quotePrefix="0" xfId="0"/>
    <xf numFmtId="0" fontId="4" fillId="3" borderId="3" pivotButton="0" quotePrefix="0" xfId="0"/>
    <xf numFmtId="0" fontId="13" fillId="0" borderId="0" pivotButton="0" quotePrefix="0" xfId="0"/>
    <xf numFmtId="0" fontId="4" fillId="7" borderId="3" pivotButton="0" quotePrefix="0" xfId="0"/>
    <xf numFmtId="0" fontId="4" fillId="6" borderId="3" pivotButton="0" quotePrefix="0" xfId="0"/>
    <xf numFmtId="0" fontId="14" fillId="0" borderId="0" pivotButton="0" quotePrefix="0" xfId="0"/>
    <xf numFmtId="0" fontId="2" fillId="2" borderId="4" applyAlignment="1" pivotButton="0" quotePrefix="0" xfId="0">
      <alignment horizontal="center" vertical="center" wrapText="1"/>
    </xf>
    <xf numFmtId="0" fontId="2" fillId="2" borderId="5" applyAlignment="1" pivotButton="0" quotePrefix="0" xfId="0">
      <alignment horizontal="center" vertical="center" wrapText="1"/>
    </xf>
    <xf numFmtId="0" fontId="7" fillId="0" borderId="5" applyAlignment="1" pivotButton="0" quotePrefix="0" xfId="0">
      <alignment horizontal="center" vertical="top" wrapText="1"/>
    </xf>
    <xf numFmtId="0" fontId="7" fillId="0" borderId="5" applyAlignment="1" pivotButton="0" quotePrefix="0" xfId="0">
      <alignment vertical="top" wrapText="1"/>
    </xf>
    <xf numFmtId="0" fontId="6" fillId="0" borderId="5" applyAlignment="1" pivotButton="0" quotePrefix="0" xfId="0">
      <alignment horizontal="center" vertical="top" wrapText="1"/>
    </xf>
    <xf numFmtId="0" fontId="15" fillId="0" borderId="5" applyAlignment="1" pivotButton="0" quotePrefix="0" xfId="0">
      <alignment horizontal="center" vertical="top" wrapText="1"/>
    </xf>
    <xf numFmtId="0" fontId="6" fillId="0" borderId="5" applyAlignment="1" pivotButton="0" quotePrefix="0" xfId="0">
      <alignment horizontal="center" vertical="top" wrapText="1"/>
    </xf>
    <xf numFmtId="0" fontId="16" fillId="0" borderId="5" applyAlignment="1" pivotButton="0" quotePrefix="0" xfId="0">
      <alignment vertical="top" wrapText="1"/>
    </xf>
    <xf numFmtId="0" fontId="7" fillId="0" borderId="5" applyAlignment="1" pivotButton="0" quotePrefix="0" xfId="0">
      <alignment vertical="top" wrapText="1"/>
    </xf>
    <xf numFmtId="0" fontId="17" fillId="0" borderId="5" pivotButton="0" quotePrefix="0" xfId="0"/>
    <xf numFmtId="0" fontId="18" fillId="0" borderId="0" pivotButton="0" quotePrefix="0" xfId="0"/>
    <xf numFmtId="0" fontId="19" fillId="0" borderId="5" applyAlignment="1" pivotButton="0" quotePrefix="0" xfId="0">
      <alignment horizontal="center" vertical="top" wrapText="1"/>
    </xf>
    <xf numFmtId="0" fontId="20" fillId="0" borderId="5" applyAlignment="1" pivotButton="0" quotePrefix="0" xfId="0">
      <alignment horizontal="center" vertical="top" wrapText="1"/>
    </xf>
    <xf numFmtId="0" fontId="21" fillId="0" borderId="5" applyAlignment="1" pivotButton="0" quotePrefix="0" xfId="0">
      <alignment vertical="top" wrapText="1"/>
    </xf>
    <xf numFmtId="0" fontId="22" fillId="0" borderId="5" applyAlignment="1" pivotButton="0" quotePrefix="0" xfId="0">
      <alignment horizontal="center" vertical="top" wrapText="1"/>
    </xf>
    <xf numFmtId="0" fontId="23" fillId="0" borderId="5" applyAlignment="1" pivotButton="0" quotePrefix="0" xfId="0">
      <alignment horizontal="center" vertical="top" wrapText="1"/>
    </xf>
    <xf numFmtId="0" fontId="24" fillId="0" borderId="5" applyAlignment="1" pivotButton="0" quotePrefix="0" xfId="0">
      <alignment vertical="top" wrapText="1"/>
    </xf>
    <xf numFmtId="0" fontId="25" fillId="0" borderId="5" applyAlignment="1" pivotButton="0" quotePrefix="0" xfId="0">
      <alignment vertical="top" wrapText="1"/>
    </xf>
    <xf numFmtId="0" fontId="26" fillId="0" borderId="0" pivotButton="0" quotePrefix="0" xfId="0"/>
    <xf numFmtId="0" fontId="27" fillId="0" borderId="5" applyAlignment="1" pivotButton="0" quotePrefix="0" xfId="0">
      <alignment vertical="top" wrapText="1"/>
    </xf>
    <xf numFmtId="0" fontId="28" fillId="0" borderId="5" applyAlignment="1" pivotButton="0" quotePrefix="0" xfId="0">
      <alignment vertical="top" wrapText="1"/>
    </xf>
    <xf numFmtId="0" fontId="0" fillId="0" borderId="0" pivotButton="0" quotePrefix="0" xfId="0"/>
    <xf numFmtId="0" fontId="29" fillId="0" borderId="0" applyAlignment="1" pivotButton="0" quotePrefix="0" xfId="0">
      <alignment horizontal="left" vertical="center"/>
    </xf>
    <xf numFmtId="0" fontId="1" fillId="2" borderId="1" applyAlignment="1" pivotButton="0" quotePrefix="0" xfId="0">
      <alignment horizontal="left" vertical="center"/>
    </xf>
    <xf numFmtId="0" fontId="1" fillId="2" borderId="1" applyAlignment="1" pivotButton="0" quotePrefix="0" xfId="0">
      <alignment horizontal="center" vertical="center"/>
    </xf>
    <xf numFmtId="0" fontId="30" fillId="0" borderId="1" applyAlignment="1" pivotButton="0" quotePrefix="0" xfId="0">
      <alignment horizontal="left" vertical="center"/>
    </xf>
    <xf numFmtId="0" fontId="30" fillId="0" borderId="1" applyAlignment="1" pivotButton="0" quotePrefix="0" xfId="0">
      <alignment horizontal="center" vertical="center"/>
    </xf>
    <xf numFmtId="9" fontId="30" fillId="0" borderId="1" applyAlignment="1" pivotButton="0" quotePrefix="0" xfId="0">
      <alignment horizontal="center" vertical="center"/>
    </xf>
    <xf numFmtId="0" fontId="31" fillId="8" borderId="1" applyAlignment="1" pivotButton="0" quotePrefix="0" xfId="0">
      <alignment horizontal="left" vertical="center"/>
    </xf>
    <xf numFmtId="0" fontId="31" fillId="8" borderId="1" applyAlignment="1" pivotButton="0" quotePrefix="0" xfId="0">
      <alignment horizontal="center" vertical="center"/>
    </xf>
    <xf numFmtId="9" fontId="31" fillId="8" borderId="1" applyAlignment="1" pivotButton="0" quotePrefix="0" xfId="0">
      <alignment horizontal="center" vertical="center"/>
    </xf>
    <xf numFmtId="0" fontId="32" fillId="0" borderId="0" pivotButton="0" quotePrefix="0" xfId="0"/>
    <xf numFmtId="0" fontId="33" fillId="0" borderId="0" pivotButton="0" quotePrefix="0" xfId="0"/>
    <xf numFmtId="0" fontId="34" fillId="0" borderId="0" pivotButton="0" quotePrefix="0" xfId="0"/>
    <xf numFmtId="0" fontId="18" fillId="0" borderId="5" pivotButton="0" quotePrefix="0" xfId="0"/>
    <xf numFmtId="0" fontId="29" fillId="0" borderId="0" pivotButton="0" quotePrefix="0" xfId="0"/>
    <xf numFmtId="0" fontId="1" fillId="2" borderId="6" applyAlignment="1" pivotButton="0" quotePrefix="0" xfId="0">
      <alignment horizontal="center"/>
    </xf>
    <xf numFmtId="0" fontId="30" fillId="0" borderId="6" pivotButton="0" quotePrefix="0" xfId="0"/>
    <xf numFmtId="0" fontId="31" fillId="8" borderId="6" pivotButton="0" quotePrefix="0" xfId="0"/>
    <xf numFmtId="0" fontId="2" fillId="2" borderId="6" applyAlignment="1" pivotButton="0" quotePrefix="0" xfId="0">
      <alignment horizontal="center" vertical="center" wrapText="1"/>
    </xf>
    <xf numFmtId="0" fontId="30" fillId="0" borderId="6" applyAlignment="1" pivotButton="0" quotePrefix="0" xfId="0">
      <alignment horizontal="center" vertical="top"/>
    </xf>
    <xf numFmtId="0" fontId="30" fillId="0" borderId="6" applyAlignment="1" pivotButton="0" quotePrefix="0" xfId="0">
      <alignment vertical="top" wrapText="1"/>
    </xf>
    <xf numFmtId="0" fontId="30" fillId="9" borderId="6" applyAlignment="1" pivotButton="0" quotePrefix="0" xfId="0">
      <alignment horizontal="center" vertical="top"/>
    </xf>
    <xf numFmtId="0" fontId="30" fillId="10" borderId="6" applyAlignment="1" pivotButton="0" quotePrefix="0" xfId="0">
      <alignment horizontal="center" vertical="top"/>
    </xf>
    <xf numFmtId="0" fontId="30" fillId="11" borderId="6"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jam.dev/c/c59ad198-fb75-4953-8e4c-279d811bdcc1" TargetMode="External" Id="rId1"/><Relationship Type="http://schemas.openxmlformats.org/officeDocument/2006/relationships/hyperlink" Target="https://jam.dev/c/e7c5d836-7e67-4e76-82d7-9d8f3957ce0d" TargetMode="External" Id="rId2"/><Relationship Type="http://schemas.openxmlformats.org/officeDocument/2006/relationships/hyperlink" Target="https://jam.dev/c/e5777a3f-6626-4419-92d8-8884a9ef544d" TargetMode="External" Id="rId3"/><Relationship Type="http://schemas.openxmlformats.org/officeDocument/2006/relationships/hyperlink" Target="https://jam.dev/c/ca785d03-1021-4e40-987f-54b86a4660ea" TargetMode="External" Id="rId4"/><Relationship Type="http://schemas.openxmlformats.org/officeDocument/2006/relationships/hyperlink" Target="https://jam.dev/c/5a4cb745-883b-45d7-9be7-dfc259942d1f" TargetMode="External" Id="rId5"/><Relationship Type="http://schemas.openxmlformats.org/officeDocument/2006/relationships/hyperlink" Target="https://jam.dev/c/d10f06f9-6592-48b7-bdd6-b8f727a38b55" TargetMode="External" Id="rId6"/><Relationship Type="http://schemas.openxmlformats.org/officeDocument/2006/relationships/hyperlink" Target="https://jam.dev/c/9809373a-1afa-4a8d-8540-e4836b18b2c5" TargetMode="External" Id="rId7"/><Relationship Type="http://schemas.openxmlformats.org/officeDocument/2006/relationships/hyperlink" Target="https://jam.dev/c/22a8a004-c862-44b8-9dbf-5c70b1825501" TargetMode="External" Id="rId8"/><Relationship Type="http://schemas.openxmlformats.org/officeDocument/2006/relationships/hyperlink" Target="https://jam.dev/c/e9e24876-69bd-4c41-ba8b-0886be4cd867" TargetMode="External" Id="rId9"/><Relationship Type="http://schemas.openxmlformats.org/officeDocument/2006/relationships/hyperlink" Target="https://jam.dev/c/e7cb4064-6b39-4b65-a1e8-e609eef7f6e5" TargetMode="External" Id="rId10"/><Relationship Type="http://schemas.openxmlformats.org/officeDocument/2006/relationships/hyperlink" Target="https://jam.dev/c/432754ce-879c-4937-a5a1-f315125385af" TargetMode="External" Id="rId11"/><Relationship Type="http://schemas.openxmlformats.org/officeDocument/2006/relationships/hyperlink" Target="https://jam.dev/c/ee692561-c9db-4fc1-9f6c-a9befb6953f0" TargetMode="External" Id="rId12"/><Relationship Type="http://schemas.openxmlformats.org/officeDocument/2006/relationships/hyperlink" Target="https://jam.dev/c/af2dced4-d706-4673-ac8d-6723520dce0f" TargetMode="External" Id="rId13"/><Relationship Type="http://schemas.openxmlformats.org/officeDocument/2006/relationships/hyperlink" Target="https://jam.dev/c/3ff23937-7197-4d13-9381-65ef837e3113" TargetMode="External" Id="rId14"/><Relationship Type="http://schemas.openxmlformats.org/officeDocument/2006/relationships/hyperlink" Target="https://jam.dev/c/37d7d204-3527-4e40-aad0-e51fab33d42a" TargetMode="External" Id="rId15"/><Relationship Type="http://schemas.openxmlformats.org/officeDocument/2006/relationships/hyperlink" Target="https://jam.dev/c/d1706ed5-abf0-4a53-b19d-a1368e703521" TargetMode="External" Id="rId16"/><Relationship Type="http://schemas.openxmlformats.org/officeDocument/2006/relationships/hyperlink" Target="https://jam.dev/c/40723d7b-aae3-47e5-81e3-d83304091945" TargetMode="External" Id="rId17"/><Relationship Type="http://schemas.openxmlformats.org/officeDocument/2006/relationships/hyperlink" Target="https://jam.dev/c/f573209c-c362-421e-8cb7-e5367245fd4a" TargetMode="External" Id="rId18"/><Relationship Type="http://schemas.openxmlformats.org/officeDocument/2006/relationships/hyperlink" Target="https://jam.dev/c/aea773c3-1e12-4378-9647-a6ae532b19d8" TargetMode="External" Id="rId19"/><Relationship Type="http://schemas.openxmlformats.org/officeDocument/2006/relationships/hyperlink" Target="https://jam.dev/c/fa7689ce-95ec-4753-9c3c-7150f4b6a62a" TargetMode="External" Id="rId20"/><Relationship Type="http://schemas.openxmlformats.org/officeDocument/2006/relationships/hyperlink" Target="https://jam.dev/c/3517856c-1367-41bc-af8b-43a0a096d508" TargetMode="External" Id="rId21"/><Relationship Type="http://schemas.openxmlformats.org/officeDocument/2006/relationships/hyperlink" Target="https://jam.dev/c/6dfb78f5-bb0d-4d70-a03a-929b74ae0e49" TargetMode="External" Id="rId22"/><Relationship Type="http://schemas.openxmlformats.org/officeDocument/2006/relationships/hyperlink" Target="https://jam.dev/c/07e3abd6-675a-4cbd-b172-39321f9f55ec" TargetMode="External" Id="rId23"/><Relationship Type="http://schemas.openxmlformats.org/officeDocument/2006/relationships/hyperlink" Target="https://jam.dev/c/d1931bae-8fb2-47b1-81f8-e6b126a3675b" TargetMode="External" Id="rId24"/><Relationship Type="http://schemas.openxmlformats.org/officeDocument/2006/relationships/hyperlink" Target="https://jam.dev/c/c2455701-1403-4615-9574-15a0ea25ec9c" TargetMode="External" Id="rId25"/><Relationship Type="http://schemas.openxmlformats.org/officeDocument/2006/relationships/hyperlink" Target="https://jam.dev/c/b6fabc61-818c-473a-b6b5-d1a8bd6b611a" TargetMode="External" Id="rId26"/><Relationship Type="http://schemas.openxmlformats.org/officeDocument/2006/relationships/hyperlink" Target="https://jam.dev/c/af3d194a-5853-473f-87f7-df2e469fe7c3" TargetMode="External" Id="rId27"/><Relationship Type="http://schemas.openxmlformats.org/officeDocument/2006/relationships/hyperlink" Target="https://jam.dev/c/2b43d3c6-f2ad-4a1d-984e-ee7d4b8bd278" TargetMode="External" Id="rId28"/><Relationship Type="http://schemas.openxmlformats.org/officeDocument/2006/relationships/hyperlink" Target="https://jam.dev/c/c778d93c-439e-47df-9600-95ef39426796" TargetMode="External" Id="rId29"/><Relationship Type="http://schemas.openxmlformats.org/officeDocument/2006/relationships/hyperlink" Target="https://jam.dev/c/39a8da64-75f7-4bfa-bdf1-288fce1229be" TargetMode="External" Id="rId30"/><Relationship Type="http://schemas.openxmlformats.org/officeDocument/2006/relationships/hyperlink" Target="https://jam.dev/c/76d1929b-f41c-4138-be8a-b6d24c036407" TargetMode="External" Id="rId31"/><Relationship Type="http://schemas.openxmlformats.org/officeDocument/2006/relationships/hyperlink" Target="https://jam.dev/c/1efadd9c-aaeb-4818-8f43-f1cdaa356980" TargetMode="External" Id="rId32"/><Relationship Type="http://schemas.openxmlformats.org/officeDocument/2006/relationships/hyperlink" Target="https://jam.dev/c/e9294356-f4ce-4bcb-92b1-fa3317f70460" TargetMode="External" Id="rId33"/><Relationship Type="http://schemas.openxmlformats.org/officeDocument/2006/relationships/hyperlink" Target="https://jam.dev/c/23f297ee-bd19-42be-93c5-3d59a25b1c86" TargetMode="External" Id="rId34"/><Relationship Type="http://schemas.openxmlformats.org/officeDocument/2006/relationships/hyperlink" Target="https://jam.dev/c/3572f7bd-7456-4791-8ec0-424054bd2190" TargetMode="External" Id="rId35"/><Relationship Type="http://schemas.openxmlformats.org/officeDocument/2006/relationships/hyperlink" Target="https://jam.dev/c/b29bbd40-08df-40c9-aa35-c1ede9fad64a" TargetMode="External" Id="rId36"/></Relationships>
</file>

<file path=xl/worksheets/sheet1.xml><?xml version="1.0" encoding="utf-8"?>
<worksheet xmlns="http://schemas.openxmlformats.org/spreadsheetml/2006/main">
  <sheetPr>
    <outlinePr summaryBelow="1" summaryRight="1"/>
    <pageSetUpPr/>
  </sheetPr>
  <dimension ref="A1:Z997"/>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54" min="1" max="1"/>
    <col width="20" customWidth="1" style="54" min="2" max="2"/>
    <col width="22" customWidth="1" style="54" min="3" max="3"/>
    <col width="42" customWidth="1" style="54" min="4" max="4"/>
    <col width="32" customWidth="1" style="54" min="5" max="5"/>
    <col width="65" customWidth="1" style="54" min="6" max="6"/>
    <col width="48" customWidth="1" style="54" min="7" max="7"/>
    <col width="10" customWidth="1" style="54" min="8" max="8"/>
    <col width="24" customWidth="1" style="54" min="9" max="9"/>
    <col width="38" customWidth="1" style="54" min="10" max="10"/>
    <col width="42" customWidth="1" style="54" min="11" max="11"/>
    <col width="17.86" customWidth="1" style="54" min="12" max="12"/>
    <col width="8.710000000000001" customWidth="1" style="54" min="13" max="14"/>
    <col width="13" customWidth="1" style="54" min="14" max="14"/>
    <col width="42.43" customWidth="1" style="54" min="15" max="15"/>
    <col width="13" customWidth="1" style="54" min="16" max="16"/>
    <col width="13" customWidth="1" style="54" min="17" max="17"/>
    <col width="13" customWidth="1" style="54" min="18" max="18"/>
    <col width="13" customWidth="1" style="54" min="19" max="19"/>
    <col width="13" customWidth="1" style="54" min="20" max="20"/>
    <col width="13" customWidth="1" style="54" min="21" max="21"/>
    <col width="13" customWidth="1" style="54" min="22" max="22"/>
    <col width="13" customWidth="1" style="54" min="23" max="23"/>
    <col width="13" customWidth="1" style="54" min="24" max="24"/>
    <col width="13" customWidth="1" style="54" min="25" max="25"/>
    <col width="13" customWidth="1" style="54" min="26" max="26"/>
  </cols>
  <sheetData>
    <row r="1" s="54">
      <c r="A1" s="1" t="inlineStr">
        <is>
          <t>TC-ID</t>
        </is>
      </c>
      <c r="B1" s="1" t="inlineStr">
        <is>
          <t>Category</t>
        </is>
      </c>
      <c r="C1" s="1" t="inlineStr">
        <is>
          <t>Feature</t>
        </is>
      </c>
      <c r="D1" s="1" t="inlineStr">
        <is>
          <t>Test Case Title</t>
        </is>
      </c>
      <c r="E1" s="1" t="inlineStr">
        <is>
          <t>Preconditions</t>
        </is>
      </c>
      <c r="F1" s="1" t="inlineStr">
        <is>
          <t>Test Steps</t>
        </is>
      </c>
      <c r="G1" s="1" t="inlineStr">
        <is>
          <t>Expected Result</t>
        </is>
      </c>
      <c r="H1" s="1" t="inlineStr">
        <is>
          <t>Priority</t>
        </is>
      </c>
      <c r="I1" s="1" t="inlineStr">
        <is>
          <t>Implementation Status</t>
        </is>
      </c>
      <c r="J1" s="1" t="inlineStr">
        <is>
          <t>Notes</t>
        </is>
      </c>
      <c r="K1" s="1" t="inlineStr">
        <is>
          <t>URL</t>
        </is>
      </c>
      <c r="L1" s="2" t="inlineStr">
        <is>
          <t>Pass Status</t>
        </is>
      </c>
      <c r="M1" s="2" t="inlineStr">
        <is>
          <t>Link</t>
        </is>
      </c>
      <c r="N1" s="2" t="inlineStr">
        <is>
          <t>Notes</t>
        </is>
      </c>
      <c r="O1" s="1" t="inlineStr">
        <is>
          <t>Spec Ref</t>
        </is>
      </c>
      <c r="P1" s="3" t="n"/>
      <c r="Q1" s="3" t="n"/>
      <c r="R1" s="3" t="n"/>
      <c r="S1" s="3" t="n"/>
      <c r="T1" s="3" t="n"/>
      <c r="U1" s="3" t="n"/>
      <c r="V1" s="3" t="n"/>
      <c r="W1" s="3" t="n"/>
      <c r="X1" s="3" t="n"/>
      <c r="Y1" s="3" t="n"/>
      <c r="Z1" s="3" t="n"/>
    </row>
    <row r="2" hidden="1" s="54">
      <c r="A2" s="13" t="inlineStr">
        <is>
          <t>TC-SUB-001</t>
        </is>
      </c>
      <c r="B2" s="13" t="inlineStr">
        <is>
          <t>Submission</t>
        </is>
      </c>
      <c r="C2" s="13" t="inlineStr">
        <is>
          <t>Form Fields</t>
        </is>
      </c>
      <c r="D2" s="13" t="inlineStr">
        <is>
          <t>Submit ringi with all required fields</t>
        </is>
      </c>
      <c r="E2" s="13" t="inlineStr">
        <is>
          <t>User logged in as employee</t>
        </is>
      </c>
      <c r="F2" s="13" t="inlineStr">
        <is>
          <t>1. Navigate to the app URL
2. Click 'New Submission' button
3. Fill in Title: 'Office Supplies Purchase'
4. Select Category: 'Purchasing'
5. Enter Vendor Name: 'ABC Corp'
6. Add item: Name='Printer', Qty=2, Amount=50000
7. Select Priority: 'High'
8. Set Required By Date
9. Enter Department: 'Engineering'
10. Enter Reason for Purchase
11. Enter Purpose
12. Click Submit</t>
        </is>
      </c>
      <c r="G2" s="13" t="inlineStr">
        <is>
          <t>Ringi created with status 'Pending'. Card appears in dashboard list. Activity log records the creation.</t>
        </is>
      </c>
      <c r="H2" s="5" t="inlineStr">
        <is>
          <t>P1</t>
        </is>
      </c>
      <c r="I2" s="6" t="inlineStr">
        <is>
          <t>Implemented</t>
        </is>
      </c>
      <c r="J2" s="13" t="inlineStr">
        <is>
          <t>Core submission flow works with current form fields</t>
        </is>
      </c>
      <c r="K2" s="13" t="inlineStr">
        <is>
          <t>https://eb-filemg-development.vercel.app</t>
        </is>
      </c>
      <c r="L2" s="7" t="inlineStr">
        <is>
          <t>N/A</t>
        </is>
      </c>
      <c r="M2" s="8" t="n"/>
      <c r="N2" s="8" t="n"/>
      <c r="O2" s="13" t="inlineStr">
        <is>
          <t>Spec 6.1 (Submission)
→ "Form fields: Subject, Category (Purchasing, Contracts, Expenses, Misc.), Amount (tax incl./excl.), Tax category, Payment terms, Vendor/Counterparty, Purpose, Period, Budget code, Project, Desired approval date, Applicant/Department."</t>
        </is>
      </c>
      <c r="P2" s="3" t="n"/>
      <c r="Q2" s="3" t="n"/>
      <c r="R2" s="3" t="n"/>
      <c r="S2" s="3" t="n"/>
      <c r="T2" s="3" t="n"/>
      <c r="U2" s="3" t="n"/>
      <c r="V2" s="3" t="n"/>
      <c r="W2" s="3" t="n"/>
      <c r="X2" s="3" t="n"/>
      <c r="Y2" s="3" t="n"/>
      <c r="Z2" s="3" t="n"/>
    </row>
    <row r="3" hidden="1" s="54">
      <c r="A3" s="13" t="inlineStr">
        <is>
          <t>TC-SUB-002</t>
        </is>
      </c>
      <c r="B3" s="13" t="inlineStr">
        <is>
          <t>Submission</t>
        </is>
      </c>
      <c r="C3" s="13" t="inlineStr">
        <is>
          <t>Tax Calculation</t>
        </is>
      </c>
      <c r="D3" s="13" t="inlineStr">
        <is>
          <t>Submit ringi with tax-inclusive calculation</t>
        </is>
      </c>
      <c r="E3" s="13" t="inlineStr">
        <is>
          <t>User logged in, category is Purchasing</t>
        </is>
      </c>
      <c r="F3" s="13" t="inlineStr">
        <is>
          <t>1. Click 'New Submission'
2. Select Category: 'Purchasing'
3. Toggle 'Use Tax' ON
4. Toggle 'Tax Included'
5. Enter Tax Rate: 10%
6. Add item: Amount=110000
7. Fill remaining required fields
8. Click Submit</t>
        </is>
      </c>
      <c r="G3" s="13" t="inlineStr">
        <is>
          <t>Tax calculated correctly. Amount displays with tax-inclusive label. Total reflects tax calculation.</t>
        </is>
      </c>
      <c r="H3" s="9" t="inlineStr">
        <is>
          <t>P2</t>
        </is>
      </c>
      <c r="I3" s="6" t="inlineStr">
        <is>
          <t>Implemented</t>
        </is>
      </c>
      <c r="J3" s="13" t="inlineStr">
        <is>
          <t>Tax toggle only shows for Purchasing category</t>
        </is>
      </c>
      <c r="K3" s="13" t="inlineStr">
        <is>
          <t>https://eb-filemg-development.vercel.app</t>
        </is>
      </c>
      <c r="L3" s="7" t="inlineStr">
        <is>
          <t>N/A</t>
        </is>
      </c>
      <c r="M3" s="8" t="n"/>
      <c r="N3" s="8" t="n"/>
      <c r="O3" s="13" t="inlineStr">
        <is>
          <t>Spec 6.1 (Submission)
→ "Form fields: Subject, Category (Purchasing, Contracts, Expenses, Misc.), Amount (tax incl./excl.), Tax category, Payment terms, Vendor/Counterparty, Purpose, Period, Budget code, Project, Desired approval date, Applicant/Department."</t>
        </is>
      </c>
      <c r="P3" s="3" t="n"/>
      <c r="Q3" s="3" t="n"/>
      <c r="R3" s="3" t="n"/>
      <c r="S3" s="3" t="n"/>
      <c r="T3" s="3" t="n"/>
      <c r="U3" s="3" t="n"/>
      <c r="V3" s="3" t="n"/>
      <c r="W3" s="3" t="n"/>
      <c r="X3" s="3" t="n"/>
      <c r="Y3" s="3" t="n"/>
      <c r="Z3" s="3" t="n"/>
    </row>
    <row r="4" hidden="1" s="54">
      <c r="A4" s="13" t="inlineStr">
        <is>
          <t>TC-SUB-003</t>
        </is>
      </c>
      <c r="B4" s="13" t="inlineStr">
        <is>
          <t>Submission</t>
        </is>
      </c>
      <c r="C4" s="13" t="inlineStr">
        <is>
          <t>Tax Calculation</t>
        </is>
      </c>
      <c r="D4" s="13" t="inlineStr">
        <is>
          <t>Submit ringi with tax-exclusive calculation</t>
        </is>
      </c>
      <c r="E4" s="13" t="inlineStr">
        <is>
          <t>User logged in, category is Purchasing</t>
        </is>
      </c>
      <c r="F4" s="13" t="inlineStr">
        <is>
          <t>1. Click 'New Submission'
2. Select Category: 'Purchasing'
3. Toggle 'Use Tax' ON
4. Toggle 'Tax Excluded'
5. Enter Tax Rate: 10%
6. Add item: Amount=100000
7. Fill remaining required fields
8. Click Submit</t>
        </is>
      </c>
      <c r="G4" s="13" t="inlineStr">
        <is>
          <t>Tax calculated on top of amount. Display shows tax-exclusive amount + tax = total.</t>
        </is>
      </c>
      <c r="H4" s="9" t="inlineStr">
        <is>
          <t>P2</t>
        </is>
      </c>
      <c r="I4" s="6" t="inlineStr">
        <is>
          <t>Implemented</t>
        </is>
      </c>
      <c r="J4" s="13" t="inlineStr">
        <is>
          <t>Tax-exclusive adds tax on top of base amount</t>
        </is>
      </c>
      <c r="K4" s="13" t="inlineStr">
        <is>
          <t>https://eb-filemg-development.vercel.app</t>
        </is>
      </c>
      <c r="L4" s="7" t="inlineStr">
        <is>
          <t>N/A</t>
        </is>
      </c>
      <c r="M4" s="8" t="n"/>
      <c r="N4" s="8" t="n"/>
      <c r="O4" s="13" t="inlineStr">
        <is>
          <t>Spec 6.1 (Submission)
→ "Form fields: Subject, Category (Purchasing, Contracts, Expenses, Misc.), Amount (tax incl./excl.), Tax category, Payment terms, Vendor/Counterparty, Purpose, Period, Budget code, Project, Desired approval date, Applicant/Department."</t>
        </is>
      </c>
      <c r="P4" s="3" t="n"/>
      <c r="Q4" s="3" t="n"/>
      <c r="R4" s="3" t="n"/>
      <c r="S4" s="3" t="n"/>
      <c r="T4" s="3" t="n"/>
      <c r="U4" s="3" t="n"/>
      <c r="V4" s="3" t="n"/>
      <c r="W4" s="3" t="n"/>
      <c r="X4" s="3" t="n"/>
      <c r="Y4" s="3" t="n"/>
      <c r="Z4" s="3" t="n"/>
    </row>
    <row r="5" hidden="1" s="54">
      <c r="A5" s="13" t="inlineStr">
        <is>
          <t>TC-SUB-004</t>
        </is>
      </c>
      <c r="B5" s="13" t="inlineStr">
        <is>
          <t>Submission</t>
        </is>
      </c>
      <c r="C5" s="13" t="inlineStr">
        <is>
          <t>Line Items</t>
        </is>
      </c>
      <c r="D5" s="13" t="inlineStr">
        <is>
          <t>Submit ringi with multiple line items</t>
        </is>
      </c>
      <c r="E5" s="13" t="inlineStr">
        <is>
          <t>User logged in</t>
        </is>
      </c>
      <c r="F5" s="13" t="inlineStr">
        <is>
          <t>1. Click 'New Submission'
2. Fill required fields
3. Add Item 1: 'Laptop', Qty=5, Amount=200000
4. Click 'Add Item'
5. Add Item 2: 'Mouse', Qty=5, Amount=5000
6. Click 'Add Item'
7. Add Item 3: 'Keyboard', Qty=5, Amount=8000
8. Verify total auto-calculates
9. Click Submit</t>
        </is>
      </c>
      <c r="G5" s="13" t="inlineStr">
        <is>
          <t>All 3 items saved. Total amount = (200000x5 + 5000x5 + 8000x5) = 1,065,000. Items table displays correctly on detail page.</t>
        </is>
      </c>
      <c r="H5" s="9" t="inlineStr">
        <is>
          <t>P2</t>
        </is>
      </c>
      <c r="I5" s="6" t="inlineStr">
        <is>
          <t>Implemented</t>
        </is>
      </c>
      <c r="J5" s="13" t="inlineStr">
        <is>
          <t>Items stored as JSONB array</t>
        </is>
      </c>
      <c r="K5" s="13" t="inlineStr">
        <is>
          <t>https://eb-filemg-development.vercel.app</t>
        </is>
      </c>
      <c r="L5" s="7" t="inlineStr">
        <is>
          <t>N/A</t>
        </is>
      </c>
      <c r="M5" s="8" t="n"/>
      <c r="N5" s="8" t="n"/>
      <c r="O5" s="13" t="inlineStr">
        <is>
          <t>Spec 6.1 (Submission)
→ "Form fields: Subject, Category (Purchasing, Contracts, Expenses, Misc.), Amount (tax incl./excl.), Tax category, Payment terms, Vendor/Counterparty, Purpose, Period, Budget code, Project, Desired approval date, Applicant/Department."</t>
        </is>
      </c>
      <c r="P5" s="3" t="n"/>
      <c r="Q5" s="3" t="n"/>
      <c r="R5" s="3" t="n"/>
      <c r="S5" s="3" t="n"/>
      <c r="T5" s="3" t="n"/>
      <c r="U5" s="3" t="n"/>
      <c r="V5" s="3" t="n"/>
      <c r="W5" s="3" t="n"/>
      <c r="X5" s="3" t="n"/>
      <c r="Y5" s="3" t="n"/>
      <c r="Z5" s="3" t="n"/>
    </row>
    <row r="6" hidden="1" s="54">
      <c r="A6" s="13" t="inlineStr">
        <is>
          <t>TC-SUB-005</t>
        </is>
      </c>
      <c r="B6" s="13" t="inlineStr">
        <is>
          <t>Submission</t>
        </is>
      </c>
      <c r="C6" s="13" t="inlineStr">
        <is>
          <t>Validation</t>
        </is>
      </c>
      <c r="D6" s="13" t="inlineStr">
        <is>
          <t>Submit ringi with missing required fields</t>
        </is>
      </c>
      <c r="E6" s="13" t="inlineStr">
        <is>
          <t>User logged in</t>
        </is>
      </c>
      <c r="F6" s="13" t="inlineStr">
        <is>
          <t>1. Click 'New Submission'
2. Leave Title empty
3. Leave Vendor Name empty
4. Do not add any items
5. Click Submit</t>
        </is>
      </c>
      <c r="G6" s="13" t="inlineStr">
        <is>
          <t>Form validation errors shown for all required fields. Submission is blocked. Error messages in current language (EN/JA).</t>
        </is>
      </c>
      <c r="H6" s="5" t="inlineStr">
        <is>
          <t>P1</t>
        </is>
      </c>
      <c r="I6" s="6" t="inlineStr">
        <is>
          <t>Implemented</t>
        </is>
      </c>
      <c r="J6" s="13" t="inlineStr">
        <is>
          <t>Yup validation schema enforces required fields</t>
        </is>
      </c>
      <c r="K6" s="13" t="inlineStr">
        <is>
          <t>https://eb-filemg-development.vercel.app</t>
        </is>
      </c>
      <c r="L6" s="7" t="inlineStr">
        <is>
          <t>N/A</t>
        </is>
      </c>
      <c r="M6" s="8" t="n"/>
      <c r="N6" s="8" t="n"/>
      <c r="O6" s="13" t="inlineStr">
        <is>
          <t>Spec 6.1 (Submission)
→ "Form fields: Subject, Category (Purchasing, Contracts, Expenses, Misc.), Amount (tax incl./excl.), Tax category, Payment terms, Vendor/Counterparty, Purpose, Period, Budget code, Project, Desired approval date, Applicant/Department."</t>
        </is>
      </c>
      <c r="P6" s="3" t="n"/>
      <c r="Q6" s="3" t="n"/>
      <c r="R6" s="3" t="n"/>
      <c r="S6" s="3" t="n"/>
      <c r="T6" s="3" t="n"/>
      <c r="U6" s="3" t="n"/>
      <c r="V6" s="3" t="n"/>
      <c r="W6" s="3" t="n"/>
      <c r="X6" s="3" t="n"/>
      <c r="Y6" s="3" t="n"/>
      <c r="Z6" s="3" t="n"/>
    </row>
    <row r="7" hidden="1" s="54">
      <c r="A7" s="13" t="inlineStr">
        <is>
          <t>TC-SUB-006</t>
        </is>
      </c>
      <c r="B7" s="13" t="inlineStr">
        <is>
          <t>Submission</t>
        </is>
      </c>
      <c r="C7" s="13" t="inlineStr">
        <is>
          <t>Attachments</t>
        </is>
      </c>
      <c r="D7" s="13" t="inlineStr">
        <is>
          <t>Submit ringi with document attachments</t>
        </is>
      </c>
      <c r="E7" s="13" t="inlineStr">
        <is>
          <t>User logged in, documents exist in system</t>
        </is>
      </c>
      <c r="F7" s="13" t="inlineStr">
        <is>
          <t>1. Click 'New Submission'
2. Fill all required fields
3. In attachments section, upload a PDF file
4. Upload a second image file
5. Click Submit
6. Navigate to detail page</t>
        </is>
      </c>
      <c r="G7" s="13" t="inlineStr">
        <is>
          <t>Both attachments linked to the ringi. File cards display on detail page with download links.</t>
        </is>
      </c>
      <c r="H7" s="9" t="inlineStr">
        <is>
          <t>P2</t>
        </is>
      </c>
      <c r="I7" s="6" t="inlineStr">
        <is>
          <t>Implemented</t>
        </is>
      </c>
      <c r="J7" s="13" t="inlineStr">
        <is>
          <t>Uses approval_request_documents junction table</t>
        </is>
      </c>
      <c r="K7" s="13" t="inlineStr">
        <is>
          <t>https://eb-filemg-development.vercel.app</t>
        </is>
      </c>
      <c r="L7" s="7" t="inlineStr">
        <is>
          <t>N/A</t>
        </is>
      </c>
      <c r="M7" s="8" t="n"/>
      <c r="N7" s="8" t="n"/>
      <c r="O7" s="13" t="inlineStr">
        <is>
          <t>Spec 6.1 (Submission)
→ "Attachments: Quotes, contracts, and related materials. No tampering allowed after approval (must re-apply as a new version)."</t>
        </is>
      </c>
      <c r="P7" s="3" t="n"/>
      <c r="Q7" s="3" t="n"/>
      <c r="R7" s="3" t="n"/>
      <c r="S7" s="3" t="n"/>
      <c r="T7" s="3" t="n"/>
      <c r="U7" s="3" t="n"/>
      <c r="V7" s="3" t="n"/>
      <c r="W7" s="3" t="n"/>
      <c r="X7" s="3" t="n"/>
      <c r="Y7" s="3" t="n"/>
      <c r="Z7" s="3" t="n"/>
    </row>
    <row r="8" s="54">
      <c r="A8" s="13" t="inlineStr">
        <is>
          <t>TC-SUB-008</t>
        </is>
      </c>
      <c r="B8" s="13" t="inlineStr">
        <is>
          <t>Submission</t>
        </is>
      </c>
      <c r="C8" s="13" t="inlineStr">
        <is>
          <t>Form Fields</t>
        </is>
      </c>
      <c r="D8" s="13" t="inlineStr">
        <is>
          <t>Verify budget_code field exists in form</t>
        </is>
      </c>
      <c r="E8" s="13" t="inlineStr">
        <is>
          <t>User logged in</t>
        </is>
      </c>
      <c r="F8" s="13" t="inlineStr">
        <is>
          <t>1. Click 'New Submission'
2. Look for 'Budget Code' field in the form
3. Enter a budget code value</t>
        </is>
      </c>
      <c r="G8" s="13" t="inlineStr">
        <is>
          <t>Budget Code field present and fillable. Value saved with ringi.</t>
        </is>
      </c>
      <c r="H8" s="11" t="inlineStr">
        <is>
          <t>P3</t>
        </is>
      </c>
      <c r="I8" s="10" t="inlineStr">
        <is>
          <t>Not Yet Implemented</t>
        </is>
      </c>
      <c r="J8" s="13" t="inlineStr">
        <is>
          <t>Spec section 8 requires budget_code. Not in current schema.</t>
        </is>
      </c>
      <c r="K8" s="13" t="inlineStr">
        <is>
          <t>https://eb-filemg-development.vercel.app</t>
        </is>
      </c>
      <c r="L8" s="7" t="inlineStr">
        <is>
          <t>N/A</t>
        </is>
      </c>
      <c r="M8" s="8" t="n"/>
      <c r="N8" s="8" t="n"/>
      <c r="O8" s="13" t="inlineStr">
        <is>
          <t>Spec 6.1 (Submission)
→ "Form fields: Subject, Category (Purchasing, Contracts, Expenses, Misc.), Amount (tax incl./excl.), Tax category, Payment terms, Vendor/Counterparty, Purpose, Period, Budget code, Project, Desired approval date, Applicant/Department."</t>
        </is>
      </c>
      <c r="P8" s="3" t="n"/>
      <c r="Q8" s="3" t="n"/>
      <c r="R8" s="3" t="n"/>
      <c r="S8" s="3" t="n"/>
      <c r="T8" s="3" t="n"/>
      <c r="U8" s="3" t="n"/>
      <c r="V8" s="3" t="n"/>
      <c r="W8" s="3" t="n"/>
      <c r="X8" s="3" t="n"/>
      <c r="Y8" s="3" t="n"/>
      <c r="Z8" s="3" t="n"/>
    </row>
    <row r="9" s="54">
      <c r="A9" s="13" t="inlineStr">
        <is>
          <t>TC-SUB-009</t>
        </is>
      </c>
      <c r="B9" s="13" t="inlineStr">
        <is>
          <t>Submission</t>
        </is>
      </c>
      <c r="C9" s="13" t="inlineStr">
        <is>
          <t>Form Fields</t>
        </is>
      </c>
      <c r="D9" s="13" t="inlineStr">
        <is>
          <t>Verify project_code field exists in form</t>
        </is>
      </c>
      <c r="E9" s="13" t="inlineStr">
        <is>
          <t>User logged in</t>
        </is>
      </c>
      <c r="F9" s="13" t="inlineStr">
        <is>
          <t>1. Click 'New Submission'
2. Look for 'Project Code' field in the form
3. Enter a project code value</t>
        </is>
      </c>
      <c r="G9" s="13" t="inlineStr">
        <is>
          <t>Project Code field present and fillable. Value saved with ringi.</t>
        </is>
      </c>
      <c r="H9" s="11" t="inlineStr">
        <is>
          <t>P3</t>
        </is>
      </c>
      <c r="I9" s="10" t="inlineStr">
        <is>
          <t>Not Yet Implemented</t>
        </is>
      </c>
      <c r="J9" s="13" t="inlineStr">
        <is>
          <t>Spec section 8 requires project_code. Not in current schema.</t>
        </is>
      </c>
      <c r="K9" s="13" t="inlineStr">
        <is>
          <t>https://eb-filemg-development.vercel.app</t>
        </is>
      </c>
      <c r="L9" s="7" t="inlineStr">
        <is>
          <t>N/A</t>
        </is>
      </c>
      <c r="M9" s="8" t="n"/>
      <c r="N9" s="8" t="n"/>
      <c r="O9" s="13" t="inlineStr">
        <is>
          <t>Spec 6.1 (Submission)
→ "Form fields: Subject, Category (Purchasing, Contracts, Expenses, Misc.), Amount (tax incl./excl.), Tax category, Payment terms, Vendor/Counterparty, Purpose, Period, Budget code, Project, Desired approval date, Applicant/Department."</t>
        </is>
      </c>
      <c r="P9" s="3" t="n"/>
      <c r="Q9" s="3" t="n"/>
      <c r="R9" s="3" t="n"/>
      <c r="S9" s="3" t="n"/>
      <c r="T9" s="3" t="n"/>
      <c r="U9" s="3" t="n"/>
      <c r="V9" s="3" t="n"/>
      <c r="W9" s="3" t="n"/>
      <c r="X9" s="3" t="n"/>
      <c r="Y9" s="3" t="n"/>
      <c r="Z9" s="3" t="n"/>
    </row>
    <row r="10" s="54">
      <c r="A10" s="13" t="inlineStr">
        <is>
          <t>TC-SUB-010</t>
        </is>
      </c>
      <c r="B10" s="13" t="inlineStr">
        <is>
          <t>Submission</t>
        </is>
      </c>
      <c r="C10" s="13" t="inlineStr">
        <is>
          <t>Form Fields</t>
        </is>
      </c>
      <c r="D10" s="13" t="inlineStr">
        <is>
          <t>Verify currency field exists in form</t>
        </is>
      </c>
      <c r="E10" s="13" t="inlineStr">
        <is>
          <t>User logged in</t>
        </is>
      </c>
      <c r="F10" s="13" t="inlineStr">
        <is>
          <t>1. Click 'New Submission'
2. Look for 'Currency' selector in the form
3. Select different currencies (JPY, USD, etc.)</t>
        </is>
      </c>
      <c r="G10" s="13" t="inlineStr">
        <is>
          <t>Currency field present with options (JPY, USD, etc.). Selected currency saved with ringi.</t>
        </is>
      </c>
      <c r="H10" s="11" t="inlineStr">
        <is>
          <t>P3</t>
        </is>
      </c>
      <c r="I10" s="10" t="inlineStr">
        <is>
          <t>Not Yet Implemented</t>
        </is>
      </c>
      <c r="J10" s="13" t="inlineStr">
        <is>
          <t>Spec section 8 requires currency. Not in current schema.</t>
        </is>
      </c>
      <c r="K10" s="13" t="inlineStr">
        <is>
          <t>https://eb-filemg-development.vercel.app</t>
        </is>
      </c>
      <c r="L10" s="7" t="inlineStr">
        <is>
          <t>N/A</t>
        </is>
      </c>
      <c r="M10" s="8" t="n"/>
      <c r="N10" s="8" t="n"/>
      <c r="O10" s="13" t="inlineStr">
        <is>
          <t>Spec 6.1 (Submission)
→ "Form fields: Subject, Category (Purchasing, Contracts, Expenses, Misc.), Amount (tax incl./excl.), Tax category, Payment terms, Vendor/Counterparty, Purpose, Period, Budget code, Project, Desired approval date, Applicant/Department."</t>
        </is>
      </c>
      <c r="P10" s="3" t="n"/>
      <c r="Q10" s="3" t="n"/>
      <c r="R10" s="3" t="n"/>
      <c r="S10" s="3" t="n"/>
      <c r="T10" s="3" t="n"/>
      <c r="U10" s="3" t="n"/>
      <c r="V10" s="3" t="n"/>
      <c r="W10" s="3" t="n"/>
      <c r="X10" s="3" t="n"/>
      <c r="Y10" s="3" t="n"/>
      <c r="Z10" s="3" t="n"/>
    </row>
    <row r="11" s="54">
      <c r="A11" s="13" t="inlineStr">
        <is>
          <t>TC-SUB-011</t>
        </is>
      </c>
      <c r="B11" s="13" t="inlineStr">
        <is>
          <t>Submission</t>
        </is>
      </c>
      <c r="C11" s="13" t="inlineStr">
        <is>
          <t>Form Fields</t>
        </is>
      </c>
      <c r="D11" s="13" t="inlineStr">
        <is>
          <t>Verify start_date and end_date (period) fields</t>
        </is>
      </c>
      <c r="E11" s="13" t="inlineStr">
        <is>
          <t>User logged in</t>
        </is>
      </c>
      <c r="F11" s="13" t="inlineStr">
        <is>
          <t>1. Click 'New Submission'
2. Look for 'Start Date' and 'End Date' (Period) fields
3. Set both dates</t>
        </is>
      </c>
      <c r="G11" s="13" t="inlineStr">
        <is>
          <t>Both start and end date fields present for period specification. Values saved.</t>
        </is>
      </c>
      <c r="H11" s="11" t="inlineStr">
        <is>
          <t>P3</t>
        </is>
      </c>
      <c r="I11" s="10" t="inlineStr">
        <is>
          <t>Not Yet Implemented</t>
        </is>
      </c>
      <c r="J11" s="13" t="inlineStr">
        <is>
          <t>Current code has single 'date' field. Spec requires start_date and end_date.</t>
        </is>
      </c>
      <c r="K11" s="13" t="inlineStr">
        <is>
          <t>https://eb-filemg-development.vercel.app</t>
        </is>
      </c>
      <c r="L11" s="7" t="inlineStr">
        <is>
          <t>N/A</t>
        </is>
      </c>
      <c r="M11" s="8" t="n"/>
      <c r="N11" s="8" t="n"/>
      <c r="O11" s="13" t="inlineStr">
        <is>
          <t>Spec 6.1 (Submission)
→ "Form fields: Subject, Category (Purchasing, Contracts, Expenses, Misc.), Amount (tax incl./excl.), Tax category, Payment terms, Vendor/Counterparty, Purpose, Period, Budget code, Project, Desired approval date, Applicant/Department."</t>
        </is>
      </c>
      <c r="P11" s="3" t="n"/>
      <c r="Q11" s="3" t="n"/>
      <c r="R11" s="3" t="n"/>
      <c r="S11" s="3" t="n"/>
      <c r="T11" s="3" t="n"/>
      <c r="U11" s="3" t="n"/>
      <c r="V11" s="3" t="n"/>
      <c r="W11" s="3" t="n"/>
      <c r="X11" s="3" t="n"/>
      <c r="Y11" s="3" t="n"/>
      <c r="Z11" s="3" t="n"/>
    </row>
    <row r="12" s="54">
      <c r="A12" s="13" t="inlineStr">
        <is>
          <t>TC-SUB-012</t>
        </is>
      </c>
      <c r="B12" s="13" t="inlineStr">
        <is>
          <t>Submission</t>
        </is>
      </c>
      <c r="C12" s="13" t="inlineStr">
        <is>
          <t>Form Fields</t>
        </is>
      </c>
      <c r="D12" s="13" t="inlineStr">
        <is>
          <t>Verify desired_approval_date field</t>
        </is>
      </c>
      <c r="E12" s="13" t="inlineStr">
        <is>
          <t>User logged in</t>
        </is>
      </c>
      <c r="F12" s="13" t="inlineStr">
        <is>
          <t>1. Click 'New Submission'
2. Look for 'Desired Approval Date' field
3. Select a date</t>
        </is>
      </c>
      <c r="G12" s="13" t="inlineStr">
        <is>
          <t>Desired approval date field present and selectable. Value saved with ringi.</t>
        </is>
      </c>
      <c r="H12" s="11" t="inlineStr">
        <is>
          <t>P3</t>
        </is>
      </c>
      <c r="I12" s="10" t="inlineStr">
        <is>
          <t>Not Yet Implemented</t>
        </is>
      </c>
      <c r="J12" s="13" t="inlineStr">
        <is>
          <t>Spec section 8 requires desired_approval_date. Not in current schema.</t>
        </is>
      </c>
      <c r="K12" s="13" t="inlineStr">
        <is>
          <t>https://eb-filemg-development.vercel.app</t>
        </is>
      </c>
      <c r="L12" s="7" t="inlineStr">
        <is>
          <t>N/A</t>
        </is>
      </c>
      <c r="M12" s="8" t="n"/>
      <c r="N12" s="8" t="n"/>
      <c r="O12" s="13" t="inlineStr">
        <is>
          <t>Spec 6.1 (Submission)
→ "Form fields: Subject, Category (Purchasing, Contracts, Expenses, Misc.), Amount (tax incl./excl.), Tax category, Payment terms, Vendor/Counterparty, Purpose, Period, Budget code, Project, Desired approval date, Applicant/Department."</t>
        </is>
      </c>
      <c r="P12" s="3" t="n"/>
      <c r="Q12" s="3" t="n"/>
      <c r="R12" s="3" t="n"/>
      <c r="S12" s="3" t="n"/>
      <c r="T12" s="3" t="n"/>
      <c r="U12" s="3" t="n"/>
      <c r="V12" s="3" t="n"/>
      <c r="W12" s="3" t="n"/>
      <c r="X12" s="3" t="n"/>
      <c r="Y12" s="3" t="n"/>
      <c r="Z12" s="3" t="n"/>
    </row>
    <row r="13" s="54">
      <c r="A13" s="13" t="inlineStr">
        <is>
          <t>TC-SUB-013</t>
        </is>
      </c>
      <c r="B13" s="13" t="inlineStr">
        <is>
          <t>Submission</t>
        </is>
      </c>
      <c r="C13" s="13" t="inlineStr">
        <is>
          <t>Draft</t>
        </is>
      </c>
      <c r="D13" s="13" t="inlineStr">
        <is>
          <t>Save ringi as draft</t>
        </is>
      </c>
      <c r="E13" s="13" t="inlineStr">
        <is>
          <t>User logged in</t>
        </is>
      </c>
      <c r="F13" s="13" t="inlineStr">
        <is>
          <t>1. Click 'New Submission'
2. Fill some fields partially
3. Click 'Save as Draft'
4. Verify status shows 'Draft'
5. Return later and edit the draft
6. Submit the draft</t>
        </is>
      </c>
      <c r="G13" s="13" t="inlineStr">
        <is>
          <t>Ringi saved with status 'Draft'. Appears in dashboard with Draft badge. Not visible to approvers. Can be edited and submitted later.</t>
        </is>
      </c>
      <c r="H13" s="9" t="inlineStr">
        <is>
          <t>P2</t>
        </is>
      </c>
      <c r="I13" s="10" t="inlineStr">
        <is>
          <t>Not Yet Implemented</t>
        </is>
      </c>
      <c r="J13" s="13" t="inlineStr">
        <is>
          <t>No 'draft' status in current system. Spec requires Draft as initial state.</t>
        </is>
      </c>
      <c r="K13" s="13" t="inlineStr">
        <is>
          <t>https://eb-filemg-development.vercel.app</t>
        </is>
      </c>
      <c r="L13" s="7" t="inlineStr">
        <is>
          <t>N/A</t>
        </is>
      </c>
      <c r="M13" s="8" t="n"/>
      <c r="N13" s="8" t="n"/>
      <c r="O13" s="13" t="inlineStr">
        <is>
          <t>Spec 6.1 (Submission)
→ "Statuses: Draft / Applying / Waiting for Approval (by stage) / Sent Back / Rejected / Approved / Expired."</t>
        </is>
      </c>
      <c r="P13" s="3" t="n"/>
      <c r="Q13" s="3" t="n"/>
      <c r="R13" s="3" t="n"/>
      <c r="S13" s="3" t="n"/>
      <c r="T13" s="3" t="n"/>
      <c r="U13" s="3" t="n"/>
      <c r="V13" s="3" t="n"/>
      <c r="W13" s="3" t="n"/>
      <c r="X13" s="3" t="n"/>
      <c r="Y13" s="3" t="n"/>
      <c r="Z13" s="3" t="n"/>
    </row>
    <row r="14" s="54">
      <c r="A14" s="13" t="inlineStr">
        <is>
          <t>TC-SUB-014</t>
        </is>
      </c>
      <c r="B14" s="13" t="inlineStr">
        <is>
          <t>Submission</t>
        </is>
      </c>
      <c r="C14" s="13" t="inlineStr">
        <is>
          <t>Edit</t>
        </is>
      </c>
      <c r="D14" s="13" t="inlineStr">
        <is>
          <t>Edit a pending ringi (owner)</t>
        </is>
      </c>
      <c r="E14" s="13" t="inlineStr">
        <is>
          <t>User logged in as the requester of a pending ringi</t>
        </is>
      </c>
      <c r="F14" s="13" t="inlineStr">
        <is>
          <t>1. Navigate to dashboard
2. Find own pending ringi
3. Click options menu (three dots)
4. Click 'Edit'
5. Modify title and amount
6. Click Submit</t>
        </is>
      </c>
      <c r="G14" s="13" t="inlineStr">
        <is>
          <t>Ringi updated with new values. Activity log records the update with old/new diff.</t>
        </is>
      </c>
      <c r="H14" s="5" t="inlineStr">
        <is>
          <t>P1</t>
        </is>
      </c>
      <c r="I14" s="6" t="inlineStr">
        <is>
          <t>Implemented</t>
        </is>
      </c>
      <c r="J14" s="13" t="inlineStr">
        <is>
          <t>Owner can edit pending requests via SubmissionDialog</t>
        </is>
      </c>
      <c r="K14" s="13" t="inlineStr">
        <is>
          <t>https://eb-filemg-development.vercel.app</t>
        </is>
      </c>
      <c r="L14" s="7" t="inlineStr">
        <is>
          <t>N/A</t>
        </is>
      </c>
      <c r="M14" s="8" t="n"/>
      <c r="N14" s="8" t="n"/>
      <c r="O14" s="13" t="inlineStr">
        <is>
          <t>Spec 6.1 (Submission)
→ "Statuses: Draft / Applying / Waiting for Approval (by stage) / Sent Back / Rejected / Approved / Expired."</t>
        </is>
      </c>
      <c r="P14" s="3" t="n"/>
      <c r="Q14" s="3" t="n"/>
      <c r="R14" s="3" t="n"/>
      <c r="S14" s="3" t="n"/>
      <c r="T14" s="3" t="n"/>
      <c r="U14" s="3" t="n"/>
      <c r="V14" s="3" t="n"/>
      <c r="W14" s="3" t="n"/>
      <c r="X14" s="3" t="n"/>
      <c r="Y14" s="3" t="n"/>
      <c r="Z14" s="3" t="n"/>
    </row>
    <row r="15" hidden="1" s="54">
      <c r="A15" s="13" t="inlineStr">
        <is>
          <t>TC-SUB-015</t>
        </is>
      </c>
      <c r="B15" s="13" t="inlineStr">
        <is>
          <t>Submission</t>
        </is>
      </c>
      <c r="C15" s="13" t="inlineStr">
        <is>
          <t>Cancel</t>
        </is>
      </c>
      <c r="D15" s="13" t="inlineStr">
        <is>
          <t>Cancel a pending ringi (owner)</t>
        </is>
      </c>
      <c r="E15" s="13" t="inlineStr">
        <is>
          <t>User logged in as the requester of a pending ringi</t>
        </is>
      </c>
      <c r="F15" s="13" t="inlineStr">
        <is>
          <t>1. Navigate to own pending ringi detail page
2. Click options menu
3. Click 'Cancel'
4. Confirm cancellation in dialog</t>
        </is>
      </c>
      <c r="G15" s="13" t="inlineStr">
        <is>
          <t>Ringi status changes to 'Cancelled'. Appears under Cancelled tab. Activity log records cancellation.</t>
        </is>
      </c>
      <c r="H15" s="5" t="inlineStr">
        <is>
          <t>P1</t>
        </is>
      </c>
      <c r="I15" s="6" t="inlineStr">
        <is>
          <t>Implemented</t>
        </is>
      </c>
      <c r="J15" s="13" t="inlineStr">
        <is>
          <t>Uses CancelRequestDialog component</t>
        </is>
      </c>
      <c r="K15" s="13" t="inlineStr">
        <is>
          <t>https://eb-filemg-development.vercel.app</t>
        </is>
      </c>
      <c r="L15" s="7" t="inlineStr">
        <is>
          <t>N/A</t>
        </is>
      </c>
      <c r="M15" s="8" t="n"/>
      <c r="N15" s="8" t="n"/>
      <c r="O15" s="13" t="inlineStr">
        <is>
          <t>Spec 6.1 (Submission)
→ "Statuses: Draft / Applying / Waiting for Approval (by stage) / Sent Back / Rejected / Approved / Expired."</t>
        </is>
      </c>
      <c r="P15" s="3" t="n"/>
      <c r="Q15" s="3" t="n"/>
      <c r="R15" s="3" t="n"/>
      <c r="S15" s="3" t="n"/>
      <c r="T15" s="3" t="n"/>
      <c r="U15" s="3" t="n"/>
      <c r="V15" s="3" t="n"/>
      <c r="W15" s="3" t="n"/>
      <c r="X15" s="3" t="n"/>
      <c r="Y15" s="3" t="n"/>
      <c r="Z15" s="3" t="n"/>
    </row>
    <row r="16" hidden="1" s="54">
      <c r="A16" s="13" t="inlineStr">
        <is>
          <t>TC-SUB-016</t>
        </is>
      </c>
      <c r="B16" s="13" t="inlineStr">
        <is>
          <t>Submission</t>
        </is>
      </c>
      <c r="C16" s="13" t="inlineStr">
        <is>
          <t>Context-Aware</t>
        </is>
      </c>
      <c r="D16" s="13" t="inlineStr">
        <is>
          <t>Create ringi from chat context</t>
        </is>
      </c>
      <c r="E16" s="13" t="inlineStr">
        <is>
          <t>User logged in, in chat with purchase discussion</t>
        </is>
      </c>
      <c r="F16" s="13" t="inlineStr">
        <is>
          <t>1. Navigate to /c (chat)
2. Discuss a purchase with AI (e.g., 'I need to buy 10 laptops from Dell for $15,000')
3. AI should offer to create an approval request
4. Confirm creation via chat
5. Verify form pre-populated with context</t>
        </is>
      </c>
      <c r="G16" s="13" t="inlineStr">
        <is>
          <t>AI pre-populates form with context from chat (vendor, amount, items). Submission form opens with defaults filled.</t>
        </is>
      </c>
      <c r="H16" s="9" t="inlineStr">
        <is>
          <t>P2</t>
        </is>
      </c>
      <c r="I16" s="12" t="inlineStr">
        <is>
          <t>Partially Implemented</t>
        </is>
      </c>
      <c r="J16" s="13" t="inlineStr">
        <is>
          <t>OpenAI tool can create requests from chat, but no dedicated modal/drawer. No context summarization for pre-population.</t>
        </is>
      </c>
      <c r="K16" s="13" t="inlineStr">
        <is>
          <t>https://eb-filemg-development.vercel.app</t>
        </is>
      </c>
      <c r="L16" s="7" t="inlineStr">
        <is>
          <t>N/A</t>
        </is>
      </c>
      <c r="M16" s="8" t="n"/>
      <c r="N16" s="8" t="n"/>
      <c r="O16" s="13" t="inlineStr">
        <is>
          <t>Spec 6.1 (Submission)
→ "Contextual input assistance: Summarize chat messages to suggest initial form values."</t>
        </is>
      </c>
      <c r="P16" s="3" t="n"/>
      <c r="Q16" s="3" t="n"/>
      <c r="R16" s="3" t="n"/>
      <c r="S16" s="3" t="n"/>
      <c r="T16" s="3" t="n"/>
      <c r="U16" s="3" t="n"/>
      <c r="V16" s="3" t="n"/>
      <c r="W16" s="3" t="n"/>
      <c r="X16" s="3" t="n"/>
      <c r="Y16" s="3" t="n"/>
      <c r="Z16" s="3" t="n"/>
    </row>
    <row r="17" s="54">
      <c r="A17" s="13" t="inlineStr">
        <is>
          <t>TC-SUB-017</t>
        </is>
      </c>
      <c r="B17" s="13" t="inlineStr">
        <is>
          <t>Submission</t>
        </is>
      </c>
      <c r="C17" s="13" t="inlineStr">
        <is>
          <t>Categories</t>
        </is>
      </c>
      <c r="D17" s="13" t="inlineStr">
        <is>
          <t>Submit ringi for each category type</t>
        </is>
      </c>
      <c r="E17" s="13" t="inlineStr">
        <is>
          <t>User logged in</t>
        </is>
      </c>
      <c r="F17" s="13" t="inlineStr">
        <is>
          <t>1. Create ringi with Category: 'Purchasing'
2. Create ringi with Category: 'Contract'
3. Create ringi with Category: 'Expense'
4. Create ringi with Category: 'Other'
5. Verify each displays correct category badge</t>
        </is>
      </c>
      <c r="G17" s="13" t="inlineStr">
        <is>
          <t>All categories accepted. Tax toggle only appears for Purchasing. Each displays correct category badge on card.</t>
        </is>
      </c>
      <c r="H17" s="9" t="inlineStr">
        <is>
          <t>P2</t>
        </is>
      </c>
      <c r="I17" s="6" t="inlineStr">
        <is>
          <t>Implemented</t>
        </is>
      </c>
      <c r="J17" s="13" t="inlineStr">
        <is>
          <t>Categories: Purchasing, Contract, Expense, Other</t>
        </is>
      </c>
      <c r="K17" s="13" t="inlineStr">
        <is>
          <t>https://eb-filemg-development.vercel.app</t>
        </is>
      </c>
      <c r="L17" s="7" t="inlineStr">
        <is>
          <t>N/A</t>
        </is>
      </c>
      <c r="M17" s="8" t="n"/>
      <c r="N17" s="8" t="n"/>
      <c r="O17" s="13" t="inlineStr">
        <is>
          <t>Spec 6.1 (Submission)
→ "Form fields: Subject, Category (Purchasing, Contracts, Expenses, Misc.), Amount (tax incl./excl.), Tax category, Payment terms, Vendor/Counterparty, Purpose, Period, Budget code, Project, Desired approval date, Applicant/Department."</t>
        </is>
      </c>
      <c r="P17" s="3" t="n"/>
      <c r="Q17" s="3" t="n"/>
      <c r="R17" s="3" t="n"/>
      <c r="S17" s="3" t="n"/>
      <c r="T17" s="3" t="n"/>
      <c r="U17" s="3" t="n"/>
      <c r="V17" s="3" t="n"/>
      <c r="W17" s="3" t="n"/>
      <c r="X17" s="3" t="n"/>
      <c r="Y17" s="3" t="n"/>
      <c r="Z17" s="3" t="n"/>
    </row>
    <row r="18" hidden="1" s="54">
      <c r="A18" s="13" t="inlineStr">
        <is>
          <t>TC-SUB-018</t>
        </is>
      </c>
      <c r="B18" s="13" t="inlineStr">
        <is>
          <t>Submission</t>
        </is>
      </c>
      <c r="C18" s="13" t="inlineStr">
        <is>
          <t>Payment</t>
        </is>
      </c>
      <c r="D18" s="13" t="inlineStr">
        <is>
          <t>Verify payment method options</t>
        </is>
      </c>
      <c r="E18" s="13" t="inlineStr">
        <is>
          <t>User logged in</t>
        </is>
      </c>
      <c r="F18" s="13" t="inlineStr">
        <is>
          <t>1. Click 'New Submission'
2. Check Payment Method dropdown options
3. Select each option (Bank Transfer, Credit Card, Cash, Other)
4. Verify Payment Schedule Date picker works</t>
        </is>
      </c>
      <c r="G18" s="13" t="inlineStr">
        <is>
          <t>Payment methods available: Bank Transfer, Credit Card, Cash, Other. Date picker functional. Values saved.</t>
        </is>
      </c>
      <c r="H18" s="9" t="inlineStr">
        <is>
          <t>P2</t>
        </is>
      </c>
      <c r="I18" s="6" t="inlineStr">
        <is>
          <t>Implemented</t>
        </is>
      </c>
      <c r="J18" s="13" t="inlineStr">
        <is>
          <t>payment_method and payment_schedule_date fields exist</t>
        </is>
      </c>
      <c r="K18" s="13" t="inlineStr">
        <is>
          <t>https://eb-filemg-development.vercel.app</t>
        </is>
      </c>
      <c r="L18" s="7" t="inlineStr">
        <is>
          <t>N/A</t>
        </is>
      </c>
      <c r="M18" s="8" t="n"/>
      <c r="N18" s="8" t="n"/>
      <c r="O18" s="13" t="inlineStr">
        <is>
          <t>Spec 6.1 (Submission)
→ "Form fields: Subject, Category (Purchasing, Contracts, Expenses, Misc.), Amount (tax incl./excl.), Tax category, Payment terms, Vendor/Counterparty, Purpose, Period, Budget code, Project, Desired approval date, Applicant/Department."</t>
        </is>
      </c>
      <c r="P18" s="3" t="n"/>
      <c r="Q18" s="3" t="n"/>
      <c r="R18" s="3" t="n"/>
      <c r="S18" s="3" t="n"/>
      <c r="T18" s="3" t="n"/>
      <c r="U18" s="3" t="n"/>
      <c r="V18" s="3" t="n"/>
      <c r="W18" s="3" t="n"/>
      <c r="X18" s="3" t="n"/>
      <c r="Y18" s="3" t="n"/>
      <c r="Z18" s="3" t="n"/>
    </row>
    <row r="19" hidden="1" s="54">
      <c r="A19" s="13" t="inlineStr">
        <is>
          <t>TC-RTE-001</t>
        </is>
      </c>
      <c r="B19" s="13" t="inlineStr">
        <is>
          <t>Approval Routes</t>
        </is>
      </c>
      <c r="C19" s="13" t="inlineStr">
        <is>
          <t>Route Config</t>
        </is>
      </c>
      <c r="D19" s="13" t="inlineStr">
        <is>
          <t>Configure multi-step approval route by amount</t>
        </is>
      </c>
      <c r="E19" s="13" t="inlineStr">
        <is>
          <t>Admin/Superadmin logged in</t>
        </is>
      </c>
      <c r="F19" s="13" t="inlineStr">
        <is>
          <t>1. Navigate to admin settings
2. Look for Approval Route configuration section
3. Create route: Amount &gt; 100,000 -&gt; Manager -&gt; Director -&gt; CFO
4. Create route: Amount &lt;= 100,000 -&gt; Manager only
5. Save configuration</t>
        </is>
      </c>
      <c r="G19" s="13" t="inlineStr">
        <is>
          <t>Routes saved. When ringi submitted with amount &gt;100K, 3-step approval triggered. &lt;=100K triggers 1-step.</t>
        </is>
      </c>
      <c r="H19" s="5" t="inlineStr">
        <is>
          <t>P1</t>
        </is>
      </c>
      <c r="I19" s="10" t="inlineStr">
        <is>
          <t>Not Yet Implemented</t>
        </is>
      </c>
      <c r="J19" s="13" t="inlineStr">
        <is>
          <t>No approval_routes or approval_route_steps tables. No routing engine. Core Phase 2 gap.</t>
        </is>
      </c>
      <c r="K19" s="13" t="inlineStr">
        <is>
          <t>https://eb-filemg-development.vercel.app</t>
        </is>
      </c>
      <c r="L19" s="7" t="inlineStr">
        <is>
          <t>N/A</t>
        </is>
      </c>
      <c r="M19" s="8" t="n"/>
      <c r="N19" s="8" t="n"/>
      <c r="O19" s="13" t="inlineStr">
        <is>
          <t>Spec 6.2 (Approval Routes)
→ "Configurable approval stages by amount, department, and category (editable via config file/admin screen, CSV import)."</t>
        </is>
      </c>
      <c r="P19" s="3" t="n"/>
      <c r="Q19" s="3" t="n"/>
      <c r="R19" s="3" t="n"/>
      <c r="S19" s="3" t="n"/>
      <c r="T19" s="3" t="n"/>
      <c r="U19" s="3" t="n"/>
      <c r="V19" s="3" t="n"/>
      <c r="W19" s="3" t="n"/>
      <c r="X19" s="3" t="n"/>
      <c r="Y19" s="3" t="n"/>
      <c r="Z19" s="3" t="n"/>
    </row>
    <row r="20" s="54">
      <c r="A20" s="13" t="inlineStr">
        <is>
          <t>TC-RTE-002</t>
        </is>
      </c>
      <c r="B20" s="13" t="inlineStr">
        <is>
          <t>Approval Routes</t>
        </is>
      </c>
      <c r="C20" s="13" t="inlineStr">
        <is>
          <t>Route Config</t>
        </is>
      </c>
      <c r="D20" s="13" t="inlineStr">
        <is>
          <t>Configure approval route by department</t>
        </is>
      </c>
      <c r="E20" s="13" t="inlineStr">
        <is>
          <t>Admin/Superadmin logged in</t>
        </is>
      </c>
      <c r="F20" s="13" t="inlineStr">
        <is>
          <t>1. Navigate to route configuration
2. Create route for Engineering dept: Team Lead -&gt; Engineering Manager
3. Create route for Sales dept: Sales Lead -&gt; Sales Director
4. Save</t>
        </is>
      </c>
      <c r="G20" s="13" t="inlineStr">
        <is>
          <t>Department-based routing works. Engineering ringi goes to Engineering route. Sales ringi goes to Sales route.</t>
        </is>
      </c>
      <c r="H20" s="5" t="inlineStr">
        <is>
          <t>P1</t>
        </is>
      </c>
      <c r="I20" s="10" t="inlineStr">
        <is>
          <t>Not Yet Implemented</t>
        </is>
      </c>
      <c r="J20" s="13" t="inlineStr">
        <is>
          <t>No department-based routing logic exists.</t>
        </is>
      </c>
      <c r="K20" s="13" t="inlineStr">
        <is>
          <t>https://eb-filemg-development.vercel.app</t>
        </is>
      </c>
      <c r="L20" s="7" t="inlineStr">
        <is>
          <t>N/A</t>
        </is>
      </c>
      <c r="M20" s="8" t="n"/>
      <c r="N20" s="8" t="n"/>
      <c r="O20" s="13" t="inlineStr">
        <is>
          <t>Spec 6.2 (Approval Routes)
→ "Configurable approval stages by amount, department, and category (editable via config file/admin screen, CSV import)."</t>
        </is>
      </c>
      <c r="P20" s="3" t="n"/>
      <c r="Q20" s="3" t="n"/>
      <c r="R20" s="3" t="n"/>
      <c r="S20" s="3" t="n"/>
      <c r="T20" s="3" t="n"/>
      <c r="U20" s="3" t="n"/>
      <c r="V20" s="3" t="n"/>
      <c r="W20" s="3" t="n"/>
      <c r="X20" s="3" t="n"/>
      <c r="Y20" s="3" t="n"/>
      <c r="Z20" s="3" t="n"/>
    </row>
    <row r="21" s="54">
      <c r="A21" s="13" t="inlineStr">
        <is>
          <t>TC-RTE-003</t>
        </is>
      </c>
      <c r="B21" s="13" t="inlineStr">
        <is>
          <t>Approval Routes</t>
        </is>
      </c>
      <c r="C21" s="13" t="inlineStr">
        <is>
          <t>Route Config</t>
        </is>
      </c>
      <c r="D21" s="13" t="inlineStr">
        <is>
          <t>Configure approval route by category</t>
        </is>
      </c>
      <c r="E21" s="13" t="inlineStr">
        <is>
          <t>Admin/Superadmin logged in</t>
        </is>
      </c>
      <c r="F21" s="13" t="inlineStr">
        <is>
          <t>1. Navigate to route configuration
2. Create route for 'Contract' category: Legal Review -&gt; Manager -&gt; Director
3. Create route for 'Expense' category: Manager only
4. Save</t>
        </is>
      </c>
      <c r="G21" s="13" t="inlineStr">
        <is>
          <t>Category-based routing works. Contract ringi includes legal review step. Expense ringi goes to manager only.</t>
        </is>
      </c>
      <c r="H21" s="5" t="inlineStr">
        <is>
          <t>P1</t>
        </is>
      </c>
      <c r="I21" s="10" t="inlineStr">
        <is>
          <t>Not Yet Implemented</t>
        </is>
      </c>
      <c r="J21" s="13" t="inlineStr">
        <is>
          <t>No category-based routing logic.</t>
        </is>
      </c>
      <c r="K21" s="13" t="inlineStr">
        <is>
          <t>https://eb-filemg-development.vercel.app</t>
        </is>
      </c>
      <c r="L21" s="7" t="inlineStr">
        <is>
          <t>N/A</t>
        </is>
      </c>
      <c r="M21" s="8" t="n"/>
      <c r="N21" s="8" t="n"/>
      <c r="O21" s="13" t="inlineStr">
        <is>
          <t>Spec 6.2 (Approval Routes)
→ "Configurable approval stages by amount, department, and category (editable via config file/admin screen, CSV import)."</t>
        </is>
      </c>
      <c r="P21" s="3" t="n"/>
      <c r="Q21" s="3" t="n"/>
      <c r="R21" s="3" t="n"/>
      <c r="S21" s="3" t="n"/>
      <c r="T21" s="3" t="n"/>
      <c r="U21" s="3" t="n"/>
      <c r="V21" s="3" t="n"/>
      <c r="W21" s="3" t="n"/>
      <c r="X21" s="3" t="n"/>
      <c r="Y21" s="3" t="n"/>
      <c r="Z21" s="3" t="n"/>
    </row>
    <row r="22" s="54">
      <c r="A22" s="13" t="inlineStr">
        <is>
          <t>TC-RTE-004</t>
        </is>
      </c>
      <c r="B22" s="13" t="inlineStr">
        <is>
          <t>Approval Routes</t>
        </is>
      </c>
      <c r="C22" s="13" t="inlineStr">
        <is>
          <t>CSV Import</t>
        </is>
      </c>
      <c r="D22" s="13" t="inlineStr">
        <is>
          <t>Import approval routes via CSV</t>
        </is>
      </c>
      <c r="E22" s="13" t="inlineStr">
        <is>
          <t>Admin logged in, CSV file prepared with route definitions</t>
        </is>
      </c>
      <c r="F22" s="13" t="inlineStr">
        <is>
          <t>1. Navigate to route configuration
2. Click 'Import CSV'
3. Upload CSV with route definitions (columns: name, dept, category, amount_threshold, step_order, approver)
4. Review imported routes
5. Confirm import</t>
        </is>
      </c>
      <c r="G22" s="13" t="inlineStr">
        <is>
          <t>Routes imported from CSV. All rows parsed correctly. Validation errors shown for invalid rows. Imported routes visible in admin.</t>
        </is>
      </c>
      <c r="H22" s="9" t="inlineStr">
        <is>
          <t>P2</t>
        </is>
      </c>
      <c r="I22" s="10" t="inlineStr">
        <is>
          <t>Not Yet Implemented</t>
        </is>
      </c>
      <c r="J22" s="13" t="inlineStr">
        <is>
          <t>No CSV import functionality for routes.</t>
        </is>
      </c>
      <c r="K22" s="13" t="inlineStr">
        <is>
          <t>https://eb-filemg-development.vercel.app</t>
        </is>
      </c>
      <c r="L22" s="7" t="inlineStr">
        <is>
          <t>N/A</t>
        </is>
      </c>
      <c r="M22" s="8" t="n"/>
      <c r="N22" s="8" t="n"/>
      <c r="O22" s="13" t="inlineStr">
        <is>
          <t>Spec 6.2 (Approval Routes)
→ "Configurable approval stages by amount, department, and category (editable via config file/admin screen, CSV import)."</t>
        </is>
      </c>
      <c r="P22" s="3" t="n"/>
      <c r="Q22" s="3" t="n"/>
      <c r="R22" s="3" t="n"/>
      <c r="S22" s="3" t="n"/>
      <c r="T22" s="3" t="n"/>
      <c r="U22" s="3" t="n"/>
      <c r="V22" s="3" t="n"/>
      <c r="W22" s="3" t="n"/>
      <c r="X22" s="3" t="n"/>
      <c r="Y22" s="3" t="n"/>
      <c r="Z22" s="3" t="n"/>
    </row>
    <row r="23" s="54">
      <c r="A23" s="13" t="inlineStr">
        <is>
          <t>TC-RTE-005</t>
        </is>
      </c>
      <c r="B23" s="13" t="inlineStr">
        <is>
          <t>Approval Routes</t>
        </is>
      </c>
      <c r="C23" s="13" t="inlineStr">
        <is>
          <t>Admin UI</t>
        </is>
      </c>
      <c r="D23" s="13" t="inlineStr">
        <is>
          <t>Admin UI for route CRUD management</t>
        </is>
      </c>
      <c r="E23" s="13" t="inlineStr">
        <is>
          <t>Superadmin logged in</t>
        </is>
      </c>
      <c r="F23" s="13" t="inlineStr">
        <is>
          <t>1. Navigate to /superadmin
2. Look for 'Approval Routes' menu item
3. View list of configured routes
4. Create a new route
5. Edit an existing route
6. Delete a route</t>
        </is>
      </c>
      <c r="G23" s="13" t="inlineStr">
        <is>
          <t>Full CRUD for approval routes in admin UI. Changes take effect for new submissions. Route list shows all configured routes.</t>
        </is>
      </c>
      <c r="H23" s="5" t="inlineStr">
        <is>
          <t>P1</t>
        </is>
      </c>
      <c r="I23" s="10" t="inlineStr">
        <is>
          <t>Not Yet Implemented</t>
        </is>
      </c>
      <c r="J23" s="13" t="inlineStr">
        <is>
          <t>No approval routes admin UI. SuperAdmin dashboard only has user management.</t>
        </is>
      </c>
      <c r="K23" s="13" t="inlineStr">
        <is>
          <t>https://eb-filemg-development.vercel.app</t>
        </is>
      </c>
      <c r="L23" s="7" t="inlineStr">
        <is>
          <t>N/A</t>
        </is>
      </c>
      <c r="M23" s="8" t="n"/>
      <c r="N23" s="8" t="n"/>
      <c r="O23" s="13" t="inlineStr">
        <is>
          <t>Spec 6.2 (Approval Routes)
→ "Configurable approval stages by amount, department, and category (editable via config file/admin screen, CSV import)."</t>
        </is>
      </c>
      <c r="P23" s="3" t="n"/>
      <c r="Q23" s="3" t="n"/>
      <c r="R23" s="3" t="n"/>
      <c r="S23" s="3" t="n"/>
      <c r="T23" s="3" t="n"/>
      <c r="U23" s="3" t="n"/>
      <c r="V23" s="3" t="n"/>
      <c r="W23" s="3" t="n"/>
      <c r="X23" s="3" t="n"/>
      <c r="Y23" s="3" t="n"/>
      <c r="Z23" s="3" t="n"/>
    </row>
    <row r="24" s="54">
      <c r="A24" s="13" t="inlineStr">
        <is>
          <t>TC-RTE-006</t>
        </is>
      </c>
      <c r="B24" s="13" t="inlineStr">
        <is>
          <t>Approval Routes</t>
        </is>
      </c>
      <c r="C24" s="13" t="inlineStr">
        <is>
          <t>Proxy Approval</t>
        </is>
      </c>
      <c r="D24" s="13" t="inlineStr">
        <is>
          <t>Configure proxy approval delegation</t>
        </is>
      </c>
      <c r="E24" s="13" t="inlineStr">
        <is>
          <t>Admin or Approver logged in</t>
        </is>
      </c>
      <c r="F24" s="13" t="inlineStr">
        <is>
          <t>1. Navigate to proxy approval settings
2. Set delegate: User B can approve for User A
3. Set period: 2026-02-15 to 2026-02-28
4. Set amount ceiling: 500,000
5. Set scope: Engineering dept only
6. Save</t>
        </is>
      </c>
      <c r="G24" s="13" t="inlineStr">
        <is>
          <t>Proxy delegation saved. User B can approve User A's assignments within constraints (period, amount, scope).</t>
        </is>
      </c>
      <c r="H24" s="9" t="inlineStr">
        <is>
          <t>P2</t>
        </is>
      </c>
      <c r="I24" s="10" t="inlineStr">
        <is>
          <t>Not Yet Implemented</t>
        </is>
      </c>
      <c r="J24" s="13" t="inlineStr">
        <is>
          <t>No proxy_approvals table or delegation logic.</t>
        </is>
      </c>
      <c r="K24" s="13" t="inlineStr">
        <is>
          <t>https://eb-filemg-development.vercel.app</t>
        </is>
      </c>
      <c r="L24" s="7" t="inlineStr">
        <is>
          <t>N/A</t>
        </is>
      </c>
      <c r="M24" s="8" t="n"/>
      <c r="N24" s="8" t="n"/>
      <c r="O24" s="13" t="inlineStr">
        <is>
          <t>Spec 6.2 (Approval Routes)
→ "Deputy approval (period/scope limits, limit amounts), Emergency Ringi route (mandatory post-approval)."</t>
        </is>
      </c>
      <c r="P24" s="3" t="n"/>
      <c r="Q24" s="3" t="n"/>
      <c r="R24" s="3" t="n"/>
      <c r="S24" s="3" t="n"/>
      <c r="T24" s="3" t="n"/>
      <c r="U24" s="3" t="n"/>
      <c r="V24" s="3" t="n"/>
      <c r="W24" s="3" t="n"/>
      <c r="X24" s="3" t="n"/>
      <c r="Y24" s="3" t="n"/>
      <c r="Z24" s="3" t="n"/>
    </row>
    <row r="25" s="54">
      <c r="A25" s="13" t="inlineStr">
        <is>
          <t>TC-RTE-007</t>
        </is>
      </c>
      <c r="B25" s="13" t="inlineStr">
        <is>
          <t>Approval Routes</t>
        </is>
      </c>
      <c r="C25" s="13" t="inlineStr">
        <is>
          <t>Proxy Approval</t>
        </is>
      </c>
      <c r="D25" s="13" t="inlineStr">
        <is>
          <t>Execute proxy approval within limits</t>
        </is>
      </c>
      <c r="E25" s="13" t="inlineStr">
        <is>
          <t>Proxy delegate logged in, valid delegation exists</t>
        </is>
      </c>
      <c r="F25" s="13" t="inlineStr">
        <is>
          <t>1. Navigate to pending approvals
2. Find ringi assigned to delegator (within amount ceiling)
3. Approve as proxy
4. Check audit trail</t>
        </is>
      </c>
      <c r="G25" s="13" t="inlineStr">
        <is>
          <t>Approval recorded as proxy. Audit shows original approver and proxy. Amount within ceiling.</t>
        </is>
      </c>
      <c r="H25" s="9" t="inlineStr">
        <is>
          <t>P2</t>
        </is>
      </c>
      <c r="I25" s="10" t="inlineStr">
        <is>
          <t>Not Yet Implemented</t>
        </is>
      </c>
      <c r="J25" s="13" t="inlineStr">
        <is>
          <t>No proxy approval execution logic.</t>
        </is>
      </c>
      <c r="K25" s="13" t="inlineStr">
        <is>
          <t>https://eb-filemg-development.vercel.app</t>
        </is>
      </c>
      <c r="L25" s="7" t="inlineStr">
        <is>
          <t>N/A</t>
        </is>
      </c>
      <c r="M25" s="8" t="n"/>
      <c r="N25" s="8" t="n"/>
      <c r="O25" s="13" t="inlineStr">
        <is>
          <t>Spec 6.2 (Approval Routes)
→ "Deputy approval (period/scope limits, limit amounts), Emergency Ringi route (mandatory post-approval)."</t>
        </is>
      </c>
      <c r="P25" s="3" t="n"/>
      <c r="Q25" s="3" t="n"/>
      <c r="R25" s="3" t="n"/>
      <c r="S25" s="3" t="n"/>
      <c r="T25" s="3" t="n"/>
      <c r="U25" s="3" t="n"/>
      <c r="V25" s="3" t="n"/>
      <c r="W25" s="3" t="n"/>
      <c r="X25" s="3" t="n"/>
      <c r="Y25" s="3" t="n"/>
      <c r="Z25" s="3" t="n"/>
    </row>
    <row r="26" s="54">
      <c r="A26" s="13" t="inlineStr">
        <is>
          <t>TC-RTE-008</t>
        </is>
      </c>
      <c r="B26" s="13" t="inlineStr">
        <is>
          <t>Approval Routes</t>
        </is>
      </c>
      <c r="C26" s="13" t="inlineStr">
        <is>
          <t>Proxy Approval</t>
        </is>
      </c>
      <c r="D26" s="13" t="inlineStr">
        <is>
          <t>Reject proxy approval exceeding limits</t>
        </is>
      </c>
      <c r="E26" s="13" t="inlineStr">
        <is>
          <t>Proxy delegate logged in, delegation with 500K ceiling</t>
        </is>
      </c>
      <c r="F26" s="13" t="inlineStr">
        <is>
          <t>1. Find ringi with amount 600,000 assigned to delegator
2. Attempt to approve as proxy</t>
        </is>
      </c>
      <c r="G26" s="13" t="inlineStr">
        <is>
          <t>System blocks proxy approval. Error message: amount exceeds proxy ceiling. Must be approved by original approver.</t>
        </is>
      </c>
      <c r="H26" s="9" t="inlineStr">
        <is>
          <t>P2</t>
        </is>
      </c>
      <c r="I26" s="10" t="inlineStr">
        <is>
          <t>Not Yet Implemented</t>
        </is>
      </c>
      <c r="J26" s="13" t="inlineStr">
        <is>
          <t>No proxy limit enforcement.</t>
        </is>
      </c>
      <c r="K26" s="13" t="inlineStr">
        <is>
          <t>https://eb-filemg-development.vercel.app</t>
        </is>
      </c>
      <c r="L26" s="7" t="inlineStr">
        <is>
          <t>N/A</t>
        </is>
      </c>
      <c r="M26" s="8" t="n"/>
      <c r="N26" s="8" t="n"/>
      <c r="O26" s="13" t="inlineStr">
        <is>
          <t>Spec 6.2 (Approval Routes)
→ "Deputy approval (period/scope limits, limit amounts), Emergency Ringi route (mandatory post-approval)."</t>
        </is>
      </c>
      <c r="P26" s="3" t="n"/>
      <c r="Q26" s="3" t="n"/>
      <c r="R26" s="3" t="n"/>
      <c r="S26" s="3" t="n"/>
      <c r="T26" s="3" t="n"/>
      <c r="U26" s="3" t="n"/>
      <c r="V26" s="3" t="n"/>
      <c r="W26" s="3" t="n"/>
      <c r="X26" s="3" t="n"/>
      <c r="Y26" s="3" t="n"/>
      <c r="Z26" s="3" t="n"/>
    </row>
    <row r="27" s="54">
      <c r="A27" s="13" t="inlineStr">
        <is>
          <t>TC-RTE-009</t>
        </is>
      </c>
      <c r="B27" s="13" t="inlineStr">
        <is>
          <t>Approval Routes</t>
        </is>
      </c>
      <c r="C27" s="13" t="inlineStr">
        <is>
          <t>Emergency Ringi</t>
        </is>
      </c>
      <c r="D27" s="13" t="inlineStr">
        <is>
          <t>Submit emergency ringi (post-hoc approval)</t>
        </is>
      </c>
      <c r="E27" s="13" t="inlineStr">
        <is>
          <t>User logged in, emergency route configured</t>
        </is>
      </c>
      <c r="F27" s="13" t="inlineStr">
        <is>
          <t>1. Click 'New Submission'
2. Select 'Emergency' flag/route
3. Fill required fields
4. Submit
5. Verify post-hoc approval required</t>
        </is>
      </c>
      <c r="G27" s="13" t="inlineStr">
        <is>
          <t>Ringi created with emergency flag. Immediate processing allowed. Post-hoc approval required. Special visual indicator on card.</t>
        </is>
      </c>
      <c r="H27" s="11" t="inlineStr">
        <is>
          <t>P3</t>
        </is>
      </c>
      <c r="I27" s="10" t="inlineStr">
        <is>
          <t>Not Yet Implemented</t>
        </is>
      </c>
      <c r="J27" s="13" t="inlineStr">
        <is>
          <t>No emergency ringi route concept in system.</t>
        </is>
      </c>
      <c r="K27" s="13" t="inlineStr">
        <is>
          <t>https://eb-filemg-development.vercel.app</t>
        </is>
      </c>
      <c r="L27" s="7" t="inlineStr">
        <is>
          <t>N/A</t>
        </is>
      </c>
      <c r="M27" s="8" t="n"/>
      <c r="N27" s="8" t="n"/>
      <c r="O27" s="13" t="inlineStr">
        <is>
          <t>Spec 6.2 (Approval Routes)
→ "Deputy approval (period/scope limits, limit amounts), Emergency Ringi route (mandatory post-approval)."</t>
        </is>
      </c>
      <c r="P27" s="3" t="n"/>
      <c r="Q27" s="3" t="n"/>
      <c r="R27" s="3" t="n"/>
      <c r="S27" s="3" t="n"/>
      <c r="T27" s="3" t="n"/>
      <c r="U27" s="3" t="n"/>
      <c r="V27" s="3" t="n"/>
      <c r="W27" s="3" t="n"/>
      <c r="X27" s="3" t="n"/>
      <c r="Y27" s="3" t="n"/>
      <c r="Z27" s="3" t="n"/>
    </row>
    <row r="28" s="54">
      <c r="A28" s="13" t="inlineStr">
        <is>
          <t>TC-RTE-010</t>
        </is>
      </c>
      <c r="B28" s="13" t="inlineStr">
        <is>
          <t>Approval Routes</t>
        </is>
      </c>
      <c r="C28" s="13" t="inlineStr">
        <is>
          <t>Route Test</t>
        </is>
      </c>
      <c r="D28" s="13" t="inlineStr">
        <is>
          <t>Test send to verify route configuration</t>
        </is>
      </c>
      <c r="E28" s="13" t="inlineStr">
        <is>
          <t>Admin logged in, routes configured</t>
        </is>
      </c>
      <c r="F28" s="13" t="inlineStr">
        <is>
          <t>1. Navigate to route configuration
2. Select a route
3. Click 'Test Send'
4. Enter test parameters (amount=200000, dept=Engineering, category=Purchasing)
5. Review resolved route</t>
        </is>
      </c>
      <c r="G28" s="13" t="inlineStr">
        <is>
          <t>System shows which approvers would be assigned, in what order, for the given test parameters. No actual ringi created.</t>
        </is>
      </c>
      <c r="H28" s="11" t="inlineStr">
        <is>
          <t>P3</t>
        </is>
      </c>
      <c r="I28" s="10" t="inlineStr">
        <is>
          <t>Not Yet Implemented</t>
        </is>
      </c>
      <c r="J28" s="13" t="inlineStr">
        <is>
          <t>No test send feature for route verification.</t>
        </is>
      </c>
      <c r="K28" s="13" t="inlineStr">
        <is>
          <t>https://eb-filemg-development.vercel.app</t>
        </is>
      </c>
      <c r="L28" s="7" t="inlineStr">
        <is>
          <t>N/A</t>
        </is>
      </c>
      <c r="M28" s="8" t="n"/>
      <c r="N28" s="8" t="n"/>
      <c r="O28" s="13" t="inlineStr">
        <is>
          <t>Spec 6.2 (Approval Routes)
→ "Configurable approval stages by amount, department, and category (editable via config file/admin screen, CSV import)."</t>
        </is>
      </c>
      <c r="P28" s="3" t="n"/>
      <c r="Q28" s="3" t="n"/>
      <c r="R28" s="3" t="n"/>
      <c r="S28" s="3" t="n"/>
      <c r="T28" s="3" t="n"/>
      <c r="U28" s="3" t="n"/>
      <c r="V28" s="3" t="n"/>
      <c r="W28" s="3" t="n"/>
      <c r="X28" s="3" t="n"/>
      <c r="Y28" s="3" t="n"/>
      <c r="Z28" s="3" t="n"/>
    </row>
    <row r="29" s="54">
      <c r="A29" s="13" t="inlineStr">
        <is>
          <t>TC-APR-001</t>
        </is>
      </c>
      <c r="B29" s="13" t="inlineStr">
        <is>
          <t>Approval Operations</t>
        </is>
      </c>
      <c r="C29" s="13" t="inlineStr">
        <is>
          <t>Approve</t>
        </is>
      </c>
      <c r="D29" s="13" t="inlineStr">
        <is>
          <t>Manager approves a pending ringi</t>
        </is>
      </c>
      <c r="E29" s="13" t="inlineStr">
        <is>
          <t>Manager logged in, pending ringi exists</t>
        </is>
      </c>
      <c r="F29" s="13" t="inlineStr">
        <is>
          <t>1. Navigate to dashboard
2. Find a pending ringi card
3. Click on the ringi card to view detail
4. Click 'Approve' button
5. Enter approval notes (optional)
6. Confirm approval</t>
        </is>
      </c>
      <c r="G29" s="13" t="inlineStr">
        <is>
          <t>Status changes to 'Approved'. approved_by set to manager ID. Activity log records approval. Toast notification shown.</t>
        </is>
      </c>
      <c r="H29" s="5" t="inlineStr">
        <is>
          <t>P1</t>
        </is>
      </c>
      <c r="I29" s="6" t="inlineStr">
        <is>
          <t>Implemented</t>
        </is>
      </c>
      <c r="J29" s="13" t="inlineStr">
        <is>
          <t>Single-step approval works via ApprovalActions component.</t>
        </is>
      </c>
      <c r="K29" s="13" t="inlineStr">
        <is>
          <t>https://eb-filemg-development.vercel.app</t>
        </is>
      </c>
      <c r="L29" s="7" t="inlineStr">
        <is>
          <t>N/A</t>
        </is>
      </c>
      <c r="M29" s="8" t="n"/>
      <c r="N29" s="8" t="n"/>
      <c r="O29" s="13" t="inlineStr">
        <is>
          <t>Spec 6.3 (Approval Operations)
→ "Statuses: Draft / Applying / Waiting for Approval (by stage) / Sent Back / Rejected / Approved / Expired."</t>
        </is>
      </c>
      <c r="P29" s="3" t="n"/>
      <c r="Q29" s="3" t="n"/>
      <c r="R29" s="3" t="n"/>
      <c r="S29" s="3" t="n"/>
      <c r="T29" s="3" t="n"/>
      <c r="U29" s="3" t="n"/>
      <c r="V29" s="3" t="n"/>
      <c r="W29" s="3" t="n"/>
      <c r="X29" s="3" t="n"/>
      <c r="Y29" s="3" t="n"/>
      <c r="Z29" s="3" t="n"/>
    </row>
    <row r="30" hidden="1" s="54">
      <c r="A30" s="13" t="inlineStr">
        <is>
          <t>TC-APR-002</t>
        </is>
      </c>
      <c r="B30" s="13" t="inlineStr">
        <is>
          <t>Approval Operations</t>
        </is>
      </c>
      <c r="C30" s="13" t="inlineStr">
        <is>
          <t>Reject</t>
        </is>
      </c>
      <c r="D30" s="13" t="inlineStr">
        <is>
          <t>Manager rejects a pending ringi with reason</t>
        </is>
      </c>
      <c r="E30" s="13" t="inlineStr">
        <is>
          <t>Manager logged in, pending ringi exists</t>
        </is>
      </c>
      <c r="F30" s="13" t="inlineStr">
        <is>
          <t>1. Navigate to pending ringi detail
2. Click 'Reject' button
3. Enter rejection reason (required)
4. Confirm rejection</t>
        </is>
      </c>
      <c r="G30" s="13" t="inlineStr">
        <is>
          <t>Status changes to 'Rejected'. rejected_by set. Rejection reason saved in approval_notes. Comment is mandatory.</t>
        </is>
      </c>
      <c r="H30" s="5" t="inlineStr">
        <is>
          <t>P1</t>
        </is>
      </c>
      <c r="I30" s="6" t="inlineStr">
        <is>
          <t>Implemented</t>
        </is>
      </c>
      <c r="J30" s="13" t="inlineStr">
        <is>
          <t>Rejection with mandatory notes works.</t>
        </is>
      </c>
      <c r="K30" s="13" t="inlineStr">
        <is>
          <t>https://eb-filemg-development.vercel.app</t>
        </is>
      </c>
      <c r="L30" s="7" t="inlineStr">
        <is>
          <t>N/A</t>
        </is>
      </c>
      <c r="M30" s="8" t="n"/>
      <c r="N30" s="8" t="n"/>
      <c r="O30" s="13" t="inlineStr">
        <is>
          <t>Spec 6.3 (Approval Operations)
→ "Statuses: Draft / Applying / Waiting for Approval (by stage) / Sent Back / Rejected / Approved / Expired."</t>
        </is>
      </c>
      <c r="P30" s="3" t="n"/>
      <c r="Q30" s="3" t="n"/>
      <c r="R30" s="3" t="n"/>
      <c r="S30" s="3" t="n"/>
      <c r="T30" s="3" t="n"/>
      <c r="U30" s="3" t="n"/>
      <c r="V30" s="3" t="n"/>
      <c r="W30" s="3" t="n"/>
      <c r="X30" s="3" t="n"/>
      <c r="Y30" s="3" t="n"/>
      <c r="Z30" s="3" t="n"/>
    </row>
    <row r="31" hidden="1" s="54">
      <c r="A31" s="13" t="inlineStr">
        <is>
          <t>TC-APR-003</t>
        </is>
      </c>
      <c r="B31" s="13" t="inlineStr">
        <is>
          <t>Approval Operations</t>
        </is>
      </c>
      <c r="C31" s="13" t="inlineStr">
        <is>
          <t>Send Back</t>
        </is>
      </c>
      <c r="D31" s="13" t="inlineStr">
        <is>
          <t>Manager sends back ringi for revision</t>
        </is>
      </c>
      <c r="E31" s="13" t="inlineStr">
        <is>
          <t>Manager logged in, pending ringi exists</t>
        </is>
      </c>
      <c r="F31" s="13" t="inlineStr">
        <is>
          <t>1. Navigate to pending ringi
2. Click 'Request Revision' / 'Send Back'
3. Enter revision comments
4. Confirm send-back</t>
        </is>
      </c>
      <c r="G31" s="13" t="inlineStr">
        <is>
          <t>Status changes to 'Sent Back' (spec) / 'Need Revision' (current). Comments saved. Requester can see revision request.</t>
        </is>
      </c>
      <c r="H31" s="5" t="inlineStr">
        <is>
          <t>P1</t>
        </is>
      </c>
      <c r="I31" s="12" t="inlineStr">
        <is>
          <t>Partially Implemented</t>
        </is>
      </c>
      <c r="J31" s="13" t="inlineStr">
        <is>
          <t>Status uses 'need_revision' instead of spec's 'sent_back'. No distinct re-submission workflow with diff memo.</t>
        </is>
      </c>
      <c r="K31" s="13" t="inlineStr">
        <is>
          <t>https://eb-filemg-development.vercel.app</t>
        </is>
      </c>
      <c r="L31" s="7" t="inlineStr">
        <is>
          <t>N/A</t>
        </is>
      </c>
      <c r="M31" s="8" t="n"/>
      <c r="N31" s="8" t="n"/>
      <c r="O31" s="13" t="inlineStr">
        <is>
          <t>Spec 6.3 (Approval Operations)
→ "Statuses: Draft / Applying / Waiting for Approval (by stage) / Sent Back / Rejected / Approved / Expired."</t>
        </is>
      </c>
      <c r="P31" s="3" t="n"/>
      <c r="Q31" s="3" t="n"/>
      <c r="R31" s="3" t="n"/>
      <c r="S31" s="3" t="n"/>
      <c r="T31" s="3" t="n"/>
      <c r="U31" s="3" t="n"/>
      <c r="V31" s="3" t="n"/>
      <c r="W31" s="3" t="n"/>
      <c r="X31" s="3" t="n"/>
      <c r="Y31" s="3" t="n"/>
      <c r="Z31" s="3" t="n"/>
    </row>
    <row r="32" s="54">
      <c r="A32" s="13" t="inlineStr">
        <is>
          <t>TC-APR-004</t>
        </is>
      </c>
      <c r="B32" s="13" t="inlineStr">
        <is>
          <t>Approval Operations</t>
        </is>
      </c>
      <c r="C32" s="13" t="inlineStr">
        <is>
          <t>Re-submit</t>
        </is>
      </c>
      <c r="D32" s="13" t="inlineStr">
        <is>
          <t>Requester re-submits after send-back</t>
        </is>
      </c>
      <c r="E32" s="13" t="inlineStr">
        <is>
          <t>Requester logged in, ringi in 'need_revision' status</t>
        </is>
      </c>
      <c r="F32" s="13" t="inlineStr">
        <is>
          <t>1. Navigate to own ringi with 'Need Revision' status
2. Click Edit
3. Modify fields based on feedback
4. Add diff memo explaining changes
5. Re-submit</t>
        </is>
      </c>
      <c r="G32" s="13" t="inlineStr">
        <is>
          <t>Status returns to 'Pending'. Diff memo recorded. Revision history visible in timeline. Previous version preserved.</t>
        </is>
      </c>
      <c r="H32" s="5" t="inlineStr">
        <is>
          <t>P1</t>
        </is>
      </c>
      <c r="I32" s="12" t="inlineStr">
        <is>
          <t>Partially Implemented</t>
        </is>
      </c>
      <c r="J32" s="13" t="inlineStr">
        <is>
          <t>Requester can edit, but no diff memo field. No version history. No re-submission specific flow.</t>
        </is>
      </c>
      <c r="K32" s="13" t="inlineStr">
        <is>
          <t>https://eb-filemg-development.vercel.app</t>
        </is>
      </c>
      <c r="L32" s="7" t="inlineStr">
        <is>
          <t>N/A</t>
        </is>
      </c>
      <c r="M32" s="8" t="n"/>
      <c r="N32" s="8" t="n"/>
      <c r="O32" s="13" t="inlineStr">
        <is>
          <t>Spec 6.3 (Approval Operations)
→ "Statuses: Draft / Applying / Waiting for Approval (by stage) / Sent Back / Rejected / Approved / Expired."</t>
        </is>
      </c>
      <c r="P32" s="3" t="n"/>
      <c r="Q32" s="3" t="n"/>
      <c r="R32" s="3" t="n"/>
      <c r="S32" s="3" t="n"/>
      <c r="T32" s="3" t="n"/>
      <c r="U32" s="3" t="n"/>
      <c r="V32" s="3" t="n"/>
      <c r="W32" s="3" t="n"/>
      <c r="X32" s="3" t="n"/>
      <c r="Y32" s="3" t="n"/>
      <c r="Z32" s="3" t="n"/>
    </row>
    <row r="33" s="54">
      <c r="A33" s="13" t="inlineStr">
        <is>
          <t>TC-APR-005</t>
        </is>
      </c>
      <c r="B33" s="13" t="inlineStr">
        <is>
          <t>Approval Operations</t>
        </is>
      </c>
      <c r="C33" s="13" t="inlineStr">
        <is>
          <t>Status - Draft</t>
        </is>
      </c>
      <c r="D33" s="13" t="inlineStr">
        <is>
          <t>Save ringi as Draft status</t>
        </is>
      </c>
      <c r="E33" s="13" t="inlineStr">
        <is>
          <t>User logged in</t>
        </is>
      </c>
      <c r="F33" s="13" t="inlineStr">
        <is>
          <t>1. Start creating a ringi
2. Save as Draft (not submit)
3. Verify status shows 'Draft'
4. Edit the draft later
5. Submit the draft</t>
        </is>
      </c>
      <c r="G33" s="13" t="inlineStr">
        <is>
          <t>Draft status supported. Draft not visible to approvers. Only requester can see and edit their drafts.</t>
        </is>
      </c>
      <c r="H33" s="9" t="inlineStr">
        <is>
          <t>P2</t>
        </is>
      </c>
      <c r="I33" s="10" t="inlineStr">
        <is>
          <t>Not Yet Implemented</t>
        </is>
      </c>
      <c r="J33" s="13" t="inlineStr">
        <is>
          <t>No 'draft' status in system. Spec requires Draft as initial state before submission.</t>
        </is>
      </c>
      <c r="K33" s="13" t="inlineStr">
        <is>
          <t>https://eb-filemg-development.vercel.app</t>
        </is>
      </c>
      <c r="L33" s="7" t="inlineStr">
        <is>
          <t>N/A</t>
        </is>
      </c>
      <c r="M33" s="8" t="n"/>
      <c r="N33" s="8" t="n"/>
      <c r="O33" s="13" t="inlineStr">
        <is>
          <t>Spec 6.3 (Approval Operations)
→ "Statuses: Draft / Applying / Waiting for Approval (by stage) / Sent Back / Rejected / Approved / Expired."</t>
        </is>
      </c>
      <c r="P33" s="3" t="n"/>
      <c r="Q33" s="3" t="n"/>
      <c r="R33" s="3" t="n"/>
      <c r="S33" s="3" t="n"/>
      <c r="T33" s="3" t="n"/>
      <c r="U33" s="3" t="n"/>
      <c r="V33" s="3" t="n"/>
      <c r="W33" s="3" t="n"/>
      <c r="X33" s="3" t="n"/>
      <c r="Y33" s="3" t="n"/>
      <c r="Z33" s="3" t="n"/>
    </row>
    <row r="34" s="54">
      <c r="A34" s="13" t="inlineStr">
        <is>
          <t>TC-APR-006</t>
        </is>
      </c>
      <c r="B34" s="13" t="inlineStr">
        <is>
          <t>Approval Operations</t>
        </is>
      </c>
      <c r="C34" s="13" t="inlineStr">
        <is>
          <t>Status - Submitted</t>
        </is>
      </c>
      <c r="D34" s="13" t="inlineStr">
        <is>
          <t>Verify 'Submitted' status distinct from 'Pending'</t>
        </is>
      </c>
      <c r="E34" s="13" t="inlineStr">
        <is>
          <t>User submits a ringi</t>
        </is>
      </c>
      <c r="F34" s="13" t="inlineStr">
        <is>
          <t>1. Submit a new ringi
2. Check status immediately after submission
3. Verify it shows 'Submitted' before entering approval queue</t>
        </is>
      </c>
      <c r="G34" s="13" t="inlineStr">
        <is>
          <t>Submitted status appears before entering per-step 'Pending Approval'. Distinct visual indicator.</t>
        </is>
      </c>
      <c r="H34" s="11" t="inlineStr">
        <is>
          <t>P3</t>
        </is>
      </c>
      <c r="I34" s="10" t="inlineStr">
        <is>
          <t>Not Yet Implemented</t>
        </is>
      </c>
      <c r="J34" s="13" t="inlineStr">
        <is>
          <t>Code uses 'pending' for both. Spec distinguishes 'submitted' from 'pending approval'.</t>
        </is>
      </c>
      <c r="K34" s="13" t="inlineStr">
        <is>
          <t>https://eb-filemg-development.vercel.app</t>
        </is>
      </c>
      <c r="L34" s="7" t="inlineStr">
        <is>
          <t>N/A</t>
        </is>
      </c>
      <c r="M34" s="8" t="n"/>
      <c r="N34" s="8" t="n"/>
      <c r="O34" s="13" t="inlineStr">
        <is>
          <t>Spec 6.3 (Approval Operations)
→ "Statuses: Draft / Applying / Waiting for Approval (by stage) / Sent Back / Rejected / Approved / Expired."</t>
        </is>
      </c>
      <c r="P34" s="3" t="n"/>
      <c r="Q34" s="3" t="n"/>
      <c r="R34" s="3" t="n"/>
      <c r="S34" s="3" t="n"/>
      <c r="T34" s="3" t="n"/>
      <c r="U34" s="3" t="n"/>
      <c r="V34" s="3" t="n"/>
      <c r="W34" s="3" t="n"/>
      <c r="X34" s="3" t="n"/>
      <c r="Y34" s="3" t="n"/>
      <c r="Z34" s="3" t="n"/>
    </row>
    <row r="35" s="54">
      <c r="A35" s="13" t="inlineStr">
        <is>
          <t>TC-APR-007</t>
        </is>
      </c>
      <c r="B35" s="13" t="inlineStr">
        <is>
          <t>Approval Operations</t>
        </is>
      </c>
      <c r="C35" s="13" t="inlineStr">
        <is>
          <t>Status - Expired</t>
        </is>
      </c>
      <c r="D35" s="13" t="inlineStr">
        <is>
          <t>Verify ringi expiration</t>
        </is>
      </c>
      <c r="E35" s="13" t="inlineStr">
        <is>
          <t>Ringi with desired approval date in the past</t>
        </is>
      </c>
      <c r="F35" s="13" t="inlineStr">
        <is>
          <t>1. Create ringi with due date in the past
2. Wait for expiration check to run (scheduled job)
3. Verify status changes to 'Expired'
4. Verify visual indicator shows expiration</t>
        </is>
      </c>
      <c r="G35" s="13" t="inlineStr">
        <is>
          <t>Overdue ringi automatically set to 'Expired' status. Visual indicator shows expiration on card and detail.</t>
        </is>
      </c>
      <c r="H35" s="9" t="inlineStr">
        <is>
          <t>P2</t>
        </is>
      </c>
      <c r="I35" s="10" t="inlineStr">
        <is>
          <t>Not Yet Implemented</t>
        </is>
      </c>
      <c r="J35" s="13" t="inlineStr">
        <is>
          <t>No 'expired' status. No due_at column. No scheduled expiration check.</t>
        </is>
      </c>
      <c r="K35" s="13" t="inlineStr">
        <is>
          <t>https://eb-filemg-development.vercel.app</t>
        </is>
      </c>
      <c r="L35" s="7" t="inlineStr">
        <is>
          <t>N/A</t>
        </is>
      </c>
      <c r="M35" s="8" t="n"/>
      <c r="N35" s="8" t="n"/>
      <c r="O35" s="13" t="inlineStr">
        <is>
          <t>Spec 6.3 (Approval Operations)
→ "Statuses: Draft / Applying / Waiting for Approval (by stage) / Sent Back / Rejected / Approved / Expired."</t>
        </is>
      </c>
      <c r="P35" s="3" t="n"/>
      <c r="Q35" s="3" t="n"/>
      <c r="R35" s="3" t="n"/>
      <c r="S35" s="3" t="n"/>
      <c r="T35" s="3" t="n"/>
      <c r="U35" s="3" t="n"/>
      <c r="V35" s="3" t="n"/>
      <c r="W35" s="3" t="n"/>
      <c r="X35" s="3" t="n"/>
      <c r="Y35" s="3" t="n"/>
      <c r="Z35" s="3" t="n"/>
    </row>
    <row r="36" s="54">
      <c r="A36" s="13" t="inlineStr">
        <is>
          <t>TC-APR-008</t>
        </is>
      </c>
      <c r="B36" s="13" t="inlineStr">
        <is>
          <t>Approval Operations</t>
        </is>
      </c>
      <c r="C36" s="13" t="inlineStr">
        <is>
          <t>Multi-Step</t>
        </is>
      </c>
      <c r="D36" s="13" t="inlineStr">
        <is>
          <t>Step 1 approver approves, moves to step 2</t>
        </is>
      </c>
      <c r="E36" s="13" t="inlineStr">
        <is>
          <t>Multi-step route configured, ringi submitted</t>
        </is>
      </c>
      <c r="F36" s="13" t="inlineStr">
        <is>
          <t>1. Log in as Step 1 approver
2. Find ringi pending at Step 1
3. Approve the ringi
4. Log out
5. Log in as Step 2 approver
6. Verify ringi now pending at Step 2
7. Approve at Step 2</t>
        </is>
      </c>
      <c r="G36" s="13" t="inlineStr">
        <is>
          <t>After Step 1 approval, ringi advances to Step 2. Step 1 recorded in history. Step 2 approver sees it in queue.</t>
        </is>
      </c>
      <c r="H36" s="5" t="inlineStr">
        <is>
          <t>P1</t>
        </is>
      </c>
      <c r="I36" s="10" t="inlineStr">
        <is>
          <t>Not Yet Implemented</t>
        </is>
      </c>
      <c r="J36" s="13" t="inlineStr">
        <is>
          <t>No multi-step workflow. Single flat approval only. No approval_step_history table.</t>
        </is>
      </c>
      <c r="K36" s="13" t="inlineStr">
        <is>
          <t>https://eb-filemg-development.vercel.app</t>
        </is>
      </c>
      <c r="L36" s="7" t="inlineStr">
        <is>
          <t>N/A</t>
        </is>
      </c>
      <c r="M36" s="8" t="n"/>
      <c r="N36" s="8" t="n"/>
      <c r="O36" s="13" t="inlineStr">
        <is>
          <t>Spec 6.3 (Approval Operations)
→ "Statuses: Draft / Applying / Waiting for Approval (by stage) / Sent Back / Rejected / Approved / Expired."</t>
        </is>
      </c>
      <c r="P36" s="3" t="n"/>
      <c r="Q36" s="3" t="n"/>
      <c r="R36" s="3" t="n"/>
      <c r="S36" s="3" t="n"/>
      <c r="T36" s="3" t="n"/>
      <c r="U36" s="3" t="n"/>
      <c r="V36" s="3" t="n"/>
      <c r="W36" s="3" t="n"/>
      <c r="X36" s="3" t="n"/>
      <c r="Y36" s="3" t="n"/>
      <c r="Z36" s="3" t="n"/>
    </row>
    <row r="37" s="54">
      <c r="A37" s="13" t="inlineStr">
        <is>
          <t>TC-APR-009</t>
        </is>
      </c>
      <c r="B37" s="13" t="inlineStr">
        <is>
          <t>Approval Operations</t>
        </is>
      </c>
      <c r="C37" s="13" t="inlineStr">
        <is>
          <t>Multi-Step</t>
        </is>
      </c>
      <c r="D37" s="13" t="inlineStr">
        <is>
          <t>Step 2 sends back to requester</t>
        </is>
      </c>
      <c r="E37" s="13" t="inlineStr">
        <is>
          <t>Multi-step route, ringi at step 2</t>
        </is>
      </c>
      <c r="F37" s="13" t="inlineStr">
        <is>
          <t>1. Log in as Step 2 approver
2. Send back the ringi with comments
3. Log in as requester
4. Verify ringi returns to editable state
5. Re-submit after corrections</t>
        </is>
      </c>
      <c r="G37" s="13" t="inlineStr">
        <is>
          <t>Send-back from any step returns to requester. Previous step approvals recorded. Re-approval from step 1 required.</t>
        </is>
      </c>
      <c r="H37" s="5" t="inlineStr">
        <is>
          <t>P1</t>
        </is>
      </c>
      <c r="I37" s="10" t="inlineStr">
        <is>
          <t>Not Yet Implemented</t>
        </is>
      </c>
      <c r="J37" s="13" t="inlineStr">
        <is>
          <t>No step-based send-back logic.</t>
        </is>
      </c>
      <c r="K37" s="13" t="inlineStr">
        <is>
          <t>https://eb-filemg-development.vercel.app</t>
        </is>
      </c>
      <c r="L37" s="7" t="inlineStr">
        <is>
          <t>N/A</t>
        </is>
      </c>
      <c r="M37" s="8" t="n"/>
      <c r="N37" s="8" t="n"/>
      <c r="O37" s="13" t="inlineStr">
        <is>
          <t>Spec 6.3 (Approval Operations)
→ "Statuses: Draft / Applying / Waiting for Approval (by stage) / Sent Back / Rejected / Approved / Expired."</t>
        </is>
      </c>
      <c r="P37" s="3" t="n"/>
      <c r="Q37" s="3" t="n"/>
      <c r="R37" s="3" t="n"/>
      <c r="S37" s="3" t="n"/>
      <c r="T37" s="3" t="n"/>
      <c r="U37" s="3" t="n"/>
      <c r="V37" s="3" t="n"/>
      <c r="W37" s="3" t="n"/>
      <c r="X37" s="3" t="n"/>
      <c r="Y37" s="3" t="n"/>
      <c r="Z37" s="3" t="n"/>
    </row>
    <row r="38" s="54">
      <c r="A38" s="13" t="inlineStr">
        <is>
          <t>TC-APR-010</t>
        </is>
      </c>
      <c r="B38" s="13" t="inlineStr">
        <is>
          <t>Approval Operations</t>
        </is>
      </c>
      <c r="C38" s="13" t="inlineStr">
        <is>
          <t>Multi-Step</t>
        </is>
      </c>
      <c r="D38" s="13" t="inlineStr">
        <is>
          <t>View per-step approval history</t>
        </is>
      </c>
      <c r="E38" s="13" t="inlineStr">
        <is>
          <t>Multi-step approved ringi exists</t>
        </is>
      </c>
      <c r="F38" s="13" t="inlineStr">
        <is>
          <t>1. Navigate to fully approved ringi detail
2. View approval timeline/history
3. Check each step shows: approver name, action, timestamp, comments</t>
        </is>
      </c>
      <c r="G38" s="13" t="inlineStr">
        <is>
          <t>Timeline shows each approval step. Each entry includes who approved, when, and any comments. Visual step indicator.</t>
        </is>
      </c>
      <c r="H38" s="5" t="inlineStr">
        <is>
          <t>P1</t>
        </is>
      </c>
      <c r="I38" s="10" t="inlineStr">
        <is>
          <t>Not Yet Implemented</t>
        </is>
      </c>
      <c r="J38" s="13" t="inlineStr">
        <is>
          <t>Timeline component exists visually but not connected to real step data.</t>
        </is>
      </c>
      <c r="K38" s="13" t="inlineStr">
        <is>
          <t>https://eb-filemg-development.vercel.app</t>
        </is>
      </c>
      <c r="L38" s="7" t="inlineStr">
        <is>
          <t>N/A</t>
        </is>
      </c>
      <c r="M38" s="8" t="n"/>
      <c r="N38" s="8" t="n"/>
      <c r="O38" s="13" t="inlineStr">
        <is>
          <t>Spec 6.3 (Approval Operations)
→ "Statuses: Draft / Applying / Waiting for Approval (by stage) / Sent Back / Rejected / Approved / Expired."</t>
        </is>
      </c>
      <c r="P38" s="3" t="n"/>
      <c r="Q38" s="3" t="n"/>
      <c r="R38" s="3" t="n"/>
      <c r="S38" s="3" t="n"/>
      <c r="T38" s="3" t="n"/>
      <c r="U38" s="3" t="n"/>
      <c r="V38" s="3" t="n"/>
      <c r="W38" s="3" t="n"/>
      <c r="X38" s="3" t="n"/>
      <c r="Y38" s="3" t="n"/>
      <c r="Z38" s="3" t="n"/>
    </row>
    <row r="39" s="54">
      <c r="A39" s="13" t="inlineStr">
        <is>
          <t>TC-APR-011</t>
        </is>
      </c>
      <c r="B39" s="13" t="inlineStr">
        <is>
          <t>Approval Operations</t>
        </is>
      </c>
      <c r="C39" s="13" t="inlineStr">
        <is>
          <t>Deadline</t>
        </is>
      </c>
      <c r="D39" s="13" t="inlineStr">
        <is>
          <t>Verify 24h reminder notification</t>
        </is>
      </c>
      <c r="E39" s="13" t="inlineStr">
        <is>
          <t>Ringi with due date 24h from now</t>
        </is>
      </c>
      <c r="F39" s="13" t="inlineStr">
        <is>
          <t>1. Create ringi with due date 24 hours from now
2. Wait for reminder trigger (scheduled job)
3. Check approver receives 24h reminder via email/Slack</t>
        </is>
      </c>
      <c r="G39" s="13" t="inlineStr">
        <is>
          <t>24-hour reminder sent to current approver via configured channels.</t>
        </is>
      </c>
      <c r="H39" s="9" t="inlineStr">
        <is>
          <t>P2</t>
        </is>
      </c>
      <c r="I39" s="10" t="inlineStr">
        <is>
          <t>Not Yet Implemented</t>
        </is>
      </c>
      <c r="J39" s="13" t="inlineStr">
        <is>
          <t>No due_at column. No reminder scheduling. No cron/n8n job for reminders.</t>
        </is>
      </c>
      <c r="K39" s="13" t="inlineStr">
        <is>
          <t>https://eb-filemg-development.vercel.app</t>
        </is>
      </c>
      <c r="L39" s="7" t="inlineStr">
        <is>
          <t>N/A</t>
        </is>
      </c>
      <c r="M39" s="8" t="n"/>
      <c r="N39" s="8" t="n"/>
      <c r="O39" s="13" t="inlineStr">
        <is>
          <t>Spec 6.3 (Approval Operations)
→ "Deadline Management: 24h/72h reminders, escalation upon expiration."</t>
        </is>
      </c>
      <c r="P39" s="3" t="n"/>
      <c r="Q39" s="3" t="n"/>
      <c r="R39" s="3" t="n"/>
      <c r="S39" s="3" t="n"/>
      <c r="T39" s="3" t="n"/>
      <c r="U39" s="3" t="n"/>
      <c r="V39" s="3" t="n"/>
      <c r="W39" s="3" t="n"/>
      <c r="X39" s="3" t="n"/>
      <c r="Y39" s="3" t="n"/>
      <c r="Z39" s="3" t="n"/>
    </row>
    <row r="40" s="54">
      <c r="A40" s="13" t="inlineStr">
        <is>
          <t>TC-APR-012</t>
        </is>
      </c>
      <c r="B40" s="13" t="inlineStr">
        <is>
          <t>Approval Operations</t>
        </is>
      </c>
      <c r="C40" s="13" t="inlineStr">
        <is>
          <t>Deadline</t>
        </is>
      </c>
      <c r="D40" s="13" t="inlineStr">
        <is>
          <t>Verify 72h reminder notification</t>
        </is>
      </c>
      <c r="E40" s="13" t="inlineStr">
        <is>
          <t>Ringi with due date 72h from now</t>
        </is>
      </c>
      <c r="F40" s="13" t="inlineStr">
        <is>
          <t>1. Create ringi with due date 72 hours from now
2. Wait for 72h reminder trigger
3. Check approver receives 72h reminder</t>
        </is>
      </c>
      <c r="G40" s="13" t="inlineStr">
        <is>
          <t>72-hour reminder sent to current approver via configured notification channels.</t>
        </is>
      </c>
      <c r="H40" s="9" t="inlineStr">
        <is>
          <t>P2</t>
        </is>
      </c>
      <c r="I40" s="10" t="inlineStr">
        <is>
          <t>Not Yet Implemented</t>
        </is>
      </c>
      <c r="J40" s="13" t="inlineStr">
        <is>
          <t>No due_at column. No reminder scheduling.</t>
        </is>
      </c>
      <c r="K40" s="13" t="inlineStr">
        <is>
          <t>https://eb-filemg-development.vercel.app</t>
        </is>
      </c>
      <c r="L40" s="7" t="inlineStr">
        <is>
          <t>N/A</t>
        </is>
      </c>
      <c r="M40" s="8" t="n"/>
      <c r="N40" s="8" t="n"/>
      <c r="O40" s="13" t="inlineStr">
        <is>
          <t>Spec 6.3 (Approval Operations)
→ "Deadline Management: 24h/72h reminders, escalation upon expiration."</t>
        </is>
      </c>
      <c r="P40" s="3" t="n"/>
      <c r="Q40" s="3" t="n"/>
      <c r="R40" s="3" t="n"/>
      <c r="S40" s="3" t="n"/>
      <c r="T40" s="3" t="n"/>
      <c r="U40" s="3" t="n"/>
      <c r="V40" s="3" t="n"/>
      <c r="W40" s="3" t="n"/>
      <c r="X40" s="3" t="n"/>
      <c r="Y40" s="3" t="n"/>
      <c r="Z40" s="3" t="n"/>
    </row>
    <row r="41" s="54">
      <c r="A41" s="13" t="inlineStr">
        <is>
          <t>TC-APR-013</t>
        </is>
      </c>
      <c r="B41" s="13" t="inlineStr">
        <is>
          <t>Approval Operations</t>
        </is>
      </c>
      <c r="C41" s="13" t="inlineStr">
        <is>
          <t>Escalation</t>
        </is>
      </c>
      <c r="D41" s="13" t="inlineStr">
        <is>
          <t>Verify escalation on overdue</t>
        </is>
      </c>
      <c r="E41" s="13" t="inlineStr">
        <is>
          <t>Ringi past due date with no action</t>
        </is>
      </c>
      <c r="F41" s="13" t="inlineStr">
        <is>
          <t>1. Identify ringi past its due date
2. Verify escalation triggers automatically
3. Check escalation target receives notification
4. Verify escalated_to field populated</t>
        </is>
      </c>
      <c r="G41" s="13" t="inlineStr">
        <is>
          <t>Overdue ringi escalated to next-level approver or admin. Escalation recorded in audit log.</t>
        </is>
      </c>
      <c r="H41" s="9" t="inlineStr">
        <is>
          <t>P2</t>
        </is>
      </c>
      <c r="I41" s="10" t="inlineStr">
        <is>
          <t>Not Yet Implemented</t>
        </is>
      </c>
      <c r="J41" s="13" t="inlineStr">
        <is>
          <t>No escalation logic or escalated_to field.</t>
        </is>
      </c>
      <c r="K41" s="13" t="inlineStr">
        <is>
          <t>https://eb-filemg-development.vercel.app</t>
        </is>
      </c>
      <c r="L41" s="7" t="inlineStr">
        <is>
          <t>N/A</t>
        </is>
      </c>
      <c r="M41" s="8" t="n"/>
      <c r="N41" s="8" t="n"/>
      <c r="O41" s="13" t="inlineStr">
        <is>
          <t>Spec 6.3 (Approval Operations)
→ "Deadline Management: 24h/72h reminders, escalation upon expiration."</t>
        </is>
      </c>
      <c r="P41" s="3" t="n"/>
      <c r="Q41" s="3" t="n"/>
      <c r="R41" s="3" t="n"/>
      <c r="S41" s="3" t="n"/>
      <c r="T41" s="3" t="n"/>
      <c r="U41" s="3" t="n"/>
      <c r="V41" s="3" t="n"/>
      <c r="W41" s="3" t="n"/>
      <c r="X41" s="3" t="n"/>
      <c r="Y41" s="3" t="n"/>
      <c r="Z41" s="3" t="n"/>
    </row>
    <row r="42" s="54">
      <c r="A42" s="13" t="inlineStr">
        <is>
          <t>TC-APR-014</t>
        </is>
      </c>
      <c r="B42" s="13" t="inlineStr">
        <is>
          <t>Approval Operations</t>
        </is>
      </c>
      <c r="C42" s="13" t="inlineStr">
        <is>
          <t>Comments</t>
        </is>
      </c>
      <c r="D42" s="13" t="inlineStr">
        <is>
          <t>Verify comments required for send-back</t>
        </is>
      </c>
      <c r="E42" s="13" t="inlineStr">
        <is>
          <t>Manager logged in, pending ringi exists</t>
        </is>
      </c>
      <c r="F42" s="13" t="inlineStr">
        <is>
          <t>1. Navigate to pending ringi
2. Click 'Send Back' / 'Request Revision'
3. Try to submit without comments
4. Verify validation error
5. Enter comments and submit</t>
        </is>
      </c>
      <c r="G42" s="13" t="inlineStr">
        <is>
          <t>Send-back without comments is blocked. Validation error shown. With comments, send-back succeeds.</t>
        </is>
      </c>
      <c r="H42" s="9" t="inlineStr">
        <is>
          <t>P2</t>
        </is>
      </c>
      <c r="I42" s="12" t="inlineStr">
        <is>
          <t>Partially Implemented</t>
        </is>
      </c>
      <c r="J42" s="13" t="inlineStr">
        <is>
          <t>Need revision action exists but comment requirement may not be strictly enforced for it.</t>
        </is>
      </c>
      <c r="K42" s="13" t="inlineStr">
        <is>
          <t>https://eb-filemg-development.vercel.app</t>
        </is>
      </c>
      <c r="L42" s="7" t="inlineStr">
        <is>
          <t>N/A</t>
        </is>
      </c>
      <c r="M42" s="8" t="n"/>
      <c r="N42" s="8" t="n"/>
      <c r="O42" s="13" t="inlineStr">
        <is>
          <t>Spec 6.3 (Approval Operations)
→ "Reason comments are mandatory for send-backs and rejections. Difference notes for re-applications."</t>
        </is>
      </c>
      <c r="P42" s="3" t="n"/>
      <c r="Q42" s="3" t="n"/>
      <c r="R42" s="3" t="n"/>
      <c r="S42" s="3" t="n"/>
      <c r="T42" s="3" t="n"/>
      <c r="U42" s="3" t="n"/>
      <c r="V42" s="3" t="n"/>
      <c r="W42" s="3" t="n"/>
      <c r="X42" s="3" t="n"/>
      <c r="Y42" s="3" t="n"/>
      <c r="Z42" s="3" t="n"/>
    </row>
    <row r="43" s="54">
      <c r="A43" s="13" t="inlineStr">
        <is>
          <t>TC-APR-015</t>
        </is>
      </c>
      <c r="B43" s="13" t="inlineStr">
        <is>
          <t>Approval Operations</t>
        </is>
      </c>
      <c r="C43" s="13" t="inlineStr">
        <is>
          <t>Comments</t>
        </is>
      </c>
      <c r="D43" s="13" t="inlineStr">
        <is>
          <t>Verify comments required for rejection</t>
        </is>
      </c>
      <c r="E43" s="13" t="inlineStr">
        <is>
          <t>Manager logged in, pending ringi exists</t>
        </is>
      </c>
      <c r="F43" s="13" t="inlineStr">
        <is>
          <t>1. Navigate to pending ringi
2. Click 'Reject'
3. Try to submit without rejection reason
4. Verify validation error
5. Enter reason and submit</t>
        </is>
      </c>
      <c r="G43" s="13" t="inlineStr">
        <is>
          <t>Rejection without reason is blocked. Error message displayed. With reason, rejection succeeds.</t>
        </is>
      </c>
      <c r="H43" s="5" t="inlineStr">
        <is>
          <t>P1</t>
        </is>
      </c>
      <c r="I43" s="6" t="inlineStr">
        <is>
          <t>Implemented</t>
        </is>
      </c>
      <c r="J43" s="13" t="inlineStr">
        <is>
          <t>Rejection notes are mandatory in the UI.</t>
        </is>
      </c>
      <c r="K43" s="13" t="inlineStr">
        <is>
          <t>https://eb-filemg-development.vercel.app</t>
        </is>
      </c>
      <c r="L43" s="7" t="inlineStr">
        <is>
          <t>N/A</t>
        </is>
      </c>
      <c r="M43" s="8" t="n"/>
      <c r="N43" s="8" t="n"/>
      <c r="O43" s="13" t="inlineStr">
        <is>
          <t>Spec 6.3 (Approval Operations)
→ "Reason comments are mandatory for send-backs and rejections. Difference notes for re-applications."</t>
        </is>
      </c>
      <c r="P43" s="3" t="n"/>
      <c r="Q43" s="3" t="n"/>
      <c r="R43" s="3" t="n"/>
      <c r="S43" s="3" t="n"/>
      <c r="T43" s="3" t="n"/>
      <c r="U43" s="3" t="n"/>
      <c r="V43" s="3" t="n"/>
      <c r="W43" s="3" t="n"/>
      <c r="X43" s="3" t="n"/>
      <c r="Y43" s="3" t="n"/>
      <c r="Z43" s="3" t="n"/>
    </row>
    <row r="44" hidden="1" s="54">
      <c r="A44" s="13" t="inlineStr">
        <is>
          <t>TC-APR-018</t>
        </is>
      </c>
      <c r="B44" s="13" t="inlineStr">
        <is>
          <t>Approval Operations</t>
        </is>
      </c>
      <c r="C44" s="13" t="inlineStr">
        <is>
          <t>Versioning</t>
        </is>
      </c>
      <c r="D44" s="13" t="inlineStr">
        <is>
          <t>Verify attachment versioning</t>
        </is>
      </c>
      <c r="E44" s="13" t="inlineStr">
        <is>
          <t>Ringi with attachment, re-submitted after send-back</t>
        </is>
      </c>
      <c r="F44" s="13" t="inlineStr">
        <is>
          <t>1. Submit ringi with document v1
2. Get sent back by approver
3. Re-submit with updated document v2
4. View attachment history on detail page</t>
        </is>
      </c>
      <c r="G44" s="13" t="inlineStr">
        <is>
          <t>Both versions visible. Version numbers shown (v1, v2). Original preserved. New version linked.</t>
        </is>
      </c>
      <c r="H44" s="11" t="inlineStr">
        <is>
          <t>P3</t>
        </is>
      </c>
      <c r="I44" s="10" t="inlineStr">
        <is>
          <t>Not Yet Implemented</t>
        </is>
      </c>
      <c r="J44" s="13" t="inlineStr">
        <is>
          <t>No version field on documents. No version history display.</t>
        </is>
      </c>
      <c r="K44" s="13" t="inlineStr">
        <is>
          <t>https://eb-filemg-development.vercel.app</t>
        </is>
      </c>
      <c r="L44" s="7" t="inlineStr">
        <is>
          <t>N/A</t>
        </is>
      </c>
      <c r="M44" s="8" t="n"/>
      <c r="N44" s="8" t="n"/>
      <c r="O44" s="13" t="inlineStr">
        <is>
          <t>Spec 6.3 (Approval Operations)
→ "Attachment preview, tampering detection via hash storage."</t>
        </is>
      </c>
      <c r="P44" s="3" t="n"/>
      <c r="Q44" s="3" t="n"/>
      <c r="R44" s="3" t="n"/>
      <c r="S44" s="3" t="n"/>
      <c r="T44" s="3" t="n"/>
      <c r="U44" s="3" t="n"/>
      <c r="V44" s="3" t="n"/>
      <c r="W44" s="3" t="n"/>
      <c r="X44" s="3" t="n"/>
      <c r="Y44" s="3" t="n"/>
      <c r="Z44" s="3" t="n"/>
    </row>
    <row r="45" s="54">
      <c r="A45" s="13" t="inlineStr">
        <is>
          <t>TC-APR-019</t>
        </is>
      </c>
      <c r="B45" s="13" t="inlineStr">
        <is>
          <t>Approval Operations</t>
        </is>
      </c>
      <c r="C45" s="13" t="inlineStr">
        <is>
          <t>Approve</t>
        </is>
      </c>
      <c r="D45" s="13" t="inlineStr">
        <is>
          <t>Superadmin approves a pending ringi</t>
        </is>
      </c>
      <c r="E45" s="13" t="inlineStr">
        <is>
          <t>Superadmin logged in, pending ringi exists</t>
        </is>
      </c>
      <c r="F45" s="13" t="inlineStr">
        <is>
          <t>1. Log in as superadmin
2. Navigate to pending ringi
3. Click 'Approve'
4. Enter optional notes
5. Confirm</t>
        </is>
      </c>
      <c r="G45" s="13" t="inlineStr">
        <is>
          <t>Superadmin can approve. Status changes to 'Approved'. Activity log records superadmin approval.</t>
        </is>
      </c>
      <c r="H45" s="5" t="inlineStr">
        <is>
          <t>P1</t>
        </is>
      </c>
      <c r="I45" s="6" t="inlineStr">
        <is>
          <t>Implemented</t>
        </is>
      </c>
      <c r="J45" s="13" t="inlineStr">
        <is>
          <t>Superadmin has same approval authority as manager.</t>
        </is>
      </c>
      <c r="K45" s="13" t="inlineStr">
        <is>
          <t>https://eb-filemg-development.vercel.app</t>
        </is>
      </c>
      <c r="L45" s="7" t="inlineStr">
        <is>
          <t>N/A</t>
        </is>
      </c>
      <c r="M45" s="8" t="n"/>
      <c r="N45" s="8" t="n"/>
      <c r="O45" s="13" t="inlineStr">
        <is>
          <t>Spec 6.3 (Approval Operations)
→ "Statuses: Draft / Applying / Waiting for Approval (by stage) / Sent Back / Rejected / Approved / Expired."</t>
        </is>
      </c>
      <c r="P45" s="3" t="n"/>
      <c r="Q45" s="3" t="n"/>
      <c r="R45" s="3" t="n"/>
      <c r="S45" s="3" t="n"/>
      <c r="T45" s="3" t="n"/>
      <c r="U45" s="3" t="n"/>
      <c r="V45" s="3" t="n"/>
      <c r="W45" s="3" t="n"/>
      <c r="X45" s="3" t="n"/>
      <c r="Y45" s="3" t="n"/>
      <c r="Z45" s="3" t="n"/>
    </row>
    <row r="46" s="54">
      <c r="A46" s="13" t="inlineStr">
        <is>
          <t>TC-APR-020</t>
        </is>
      </c>
      <c r="B46" s="13" t="inlineStr">
        <is>
          <t>Approval Operations</t>
        </is>
      </c>
      <c r="C46" s="13" t="inlineStr">
        <is>
          <t>RBAC</t>
        </is>
      </c>
      <c r="D46" s="13" t="inlineStr">
        <is>
          <t>Employee cannot approve ringi</t>
        </is>
      </c>
      <c r="E46" s="13" t="inlineStr">
        <is>
          <t>Employee logged in, pending ringi from another user exists</t>
        </is>
      </c>
      <c r="F46" s="13" t="inlineStr">
        <is>
          <t>1. Log in as employee
2. Navigate to another user's pending ringi
3. Check for approval action buttons</t>
        </is>
      </c>
      <c r="G46" s="13" t="inlineStr">
        <is>
          <t>No Approve/Reject buttons visible for employee role. Only manager/superadmin see action buttons.</t>
        </is>
      </c>
      <c r="H46" s="5" t="inlineStr">
        <is>
          <t>P1</t>
        </is>
      </c>
      <c r="I46" s="6" t="inlineStr">
        <is>
          <t>Implemented</t>
        </is>
      </c>
      <c r="J46" s="13" t="inlineStr">
        <is>
          <t>Role-based status update validation in service layer.</t>
        </is>
      </c>
      <c r="K46" s="13" t="inlineStr">
        <is>
          <t>https://eb-filemg-development.vercel.app</t>
        </is>
      </c>
      <c r="L46" s="7" t="inlineStr">
        <is>
          <t>N/A</t>
        </is>
      </c>
      <c r="M46" s="8" t="n"/>
      <c r="N46" s="8" t="n"/>
      <c r="O46" s="13" t="inlineStr">
        <is>
          <t>Spec 6.3 (Approval Operations)
→ "RBAC: Initiators edit/view their own applications, approvers operate on assigned cases, admins view all and change settings."</t>
        </is>
      </c>
      <c r="P46" s="3" t="n"/>
      <c r="Q46" s="3" t="n"/>
      <c r="R46" s="3" t="n"/>
      <c r="S46" s="3" t="n"/>
      <c r="T46" s="3" t="n"/>
      <c r="U46" s="3" t="n"/>
      <c r="V46" s="3" t="n"/>
      <c r="W46" s="3" t="n"/>
      <c r="X46" s="3" t="n"/>
      <c r="Y46" s="3" t="n"/>
      <c r="Z46" s="3" t="n"/>
    </row>
    <row r="47" s="54">
      <c r="A47" s="13" t="inlineStr">
        <is>
          <t>TC-APR-021</t>
        </is>
      </c>
      <c r="B47" s="13" t="inlineStr">
        <is>
          <t>Approval Operations</t>
        </is>
      </c>
      <c r="C47" s="13" t="inlineStr">
        <is>
          <t>RBAC</t>
        </is>
      </c>
      <c r="D47" s="13" t="inlineStr">
        <is>
          <t>Accountant has read-only access</t>
        </is>
      </c>
      <c r="E47" s="13" t="inlineStr">
        <is>
          <t>Accountant logged in</t>
        </is>
      </c>
      <c r="F47" s="13" t="inlineStr">
        <is>
          <t>1. Log in as accountant
2. Navigate to any ringi detail page
3. Check available action buttons</t>
        </is>
      </c>
      <c r="G47" s="13" t="inlineStr">
        <is>
          <t>No edit, approve, reject, or cancel buttons visible. View-only mode for accountant.</t>
        </is>
      </c>
      <c r="H47" s="5" t="inlineStr">
        <is>
          <t>P1</t>
        </is>
      </c>
      <c r="I47" s="6" t="inlineStr">
        <is>
          <t>Implemented</t>
        </is>
      </c>
      <c r="J47" s="13" t="inlineStr">
        <is>
          <t>Accountant role excluded from status updates.</t>
        </is>
      </c>
      <c r="K47" s="13" t="inlineStr">
        <is>
          <t>https://eb-filemg-development.vercel.app</t>
        </is>
      </c>
      <c r="L47" s="7" t="inlineStr">
        <is>
          <t>N/A</t>
        </is>
      </c>
      <c r="M47" s="8" t="n"/>
      <c r="N47" s="8" t="n"/>
      <c r="O47" s="13" t="inlineStr">
        <is>
          <t>Spec 6.3 (Approval Operations)
→ "RBAC: Initiators edit/view their own applications, approvers operate on assigned cases, admins view all and change settings."</t>
        </is>
      </c>
      <c r="P47" s="3" t="n"/>
      <c r="Q47" s="3" t="n"/>
      <c r="R47" s="3" t="n"/>
      <c r="S47" s="3" t="n"/>
      <c r="T47" s="3" t="n"/>
      <c r="U47" s="3" t="n"/>
      <c r="V47" s="3" t="n"/>
      <c r="W47" s="3" t="n"/>
      <c r="X47" s="3" t="n"/>
      <c r="Y47" s="3" t="n"/>
      <c r="Z47" s="3" t="n"/>
    </row>
    <row r="48" hidden="1" s="54">
      <c r="A48" s="13" t="inlineStr">
        <is>
          <t>TC-APR-022</t>
        </is>
      </c>
      <c r="B48" s="13" t="inlineStr">
        <is>
          <t>Approval Operations</t>
        </is>
      </c>
      <c r="C48" s="13" t="inlineStr">
        <is>
          <t>Cancel</t>
        </is>
      </c>
      <c r="D48" s="13" t="inlineStr">
        <is>
          <t>Non-owner cannot cancel ringi</t>
        </is>
      </c>
      <c r="E48" s="13" t="inlineStr">
        <is>
          <t>Manager logged in, ringi owned by another user</t>
        </is>
      </c>
      <c r="F48" s="13" t="inlineStr">
        <is>
          <t>1. Log in as manager
2. Navigate to another user's pending ringi detail
3. Check for cancel option in options menu</t>
        </is>
      </c>
      <c r="G48" s="13" t="inlineStr">
        <is>
          <t>Cancel option not available for non-owners. Only request owner can cancel.</t>
        </is>
      </c>
      <c r="H48" s="9" t="inlineStr">
        <is>
          <t>P2</t>
        </is>
      </c>
      <c r="I48" s="6" t="inlineStr">
        <is>
          <t>Implemented</t>
        </is>
      </c>
      <c r="J48" s="13" t="inlineStr">
        <is>
          <t>Cancel only available for request owner.</t>
        </is>
      </c>
      <c r="K48" s="13" t="inlineStr">
        <is>
          <t>https://eb-filemg-development.vercel.app</t>
        </is>
      </c>
      <c r="L48" s="7" t="inlineStr">
        <is>
          <t>N/A</t>
        </is>
      </c>
      <c r="M48" s="8" t="n"/>
      <c r="N48" s="8" t="n"/>
      <c r="O48" s="13" t="inlineStr">
        <is>
          <t>Spec 6.3 (Approval Operations)
→ "Statuses: Draft / Applying / Waiting for Approval (by stage) / Sent Back / Rejected / Approved / Expired."</t>
        </is>
      </c>
      <c r="P48" s="3" t="n"/>
      <c r="Q48" s="3" t="n"/>
      <c r="R48" s="3" t="n"/>
      <c r="S48" s="3" t="n"/>
      <c r="T48" s="3" t="n"/>
      <c r="U48" s="3" t="n"/>
      <c r="V48" s="3" t="n"/>
      <c r="W48" s="3" t="n"/>
      <c r="X48" s="3" t="n"/>
      <c r="Y48" s="3" t="n"/>
      <c r="Z48" s="3" t="n"/>
    </row>
    <row r="49" hidden="1" s="54">
      <c r="A49" s="13" t="inlineStr">
        <is>
          <t>TC-NTF-001</t>
        </is>
      </c>
      <c r="B49" s="13" t="inlineStr">
        <is>
          <t>Notifications</t>
        </is>
      </c>
      <c r="C49" s="13" t="inlineStr">
        <is>
          <t>Email</t>
        </is>
      </c>
      <c r="D49" s="13" t="inlineStr">
        <is>
          <t>Email notification on ringi submission</t>
        </is>
      </c>
      <c r="E49" s="13" t="inlineStr">
        <is>
          <t>Ringi submitted, approver has email configured</t>
        </is>
      </c>
      <c r="F49" s="13" t="inlineStr">
        <is>
          <t>1. Submit a new ringi
2. Check approver's email inbox
3. Verify email contains ringi summary (subject, amount, requester, due date)
4. Verify email contains link to approval page</t>
        </is>
      </c>
      <c r="G49" s="13" t="inlineStr">
        <is>
          <t>Approver receives email with ringi summary and direct link to approval page.</t>
        </is>
      </c>
      <c r="H49" s="5" t="inlineStr">
        <is>
          <t>P1</t>
        </is>
      </c>
      <c r="I49" s="10" t="inlineStr">
        <is>
          <t>Not Yet Implemented</t>
        </is>
      </c>
      <c r="J49" s="13" t="inlineStr">
        <is>
          <t>No email notification service. Spec requires email for approval requests.</t>
        </is>
      </c>
      <c r="K49" s="13" t="inlineStr">
        <is>
          <t>https://eb-filemg-development.vercel.app</t>
        </is>
      </c>
      <c r="L49" s="7" t="inlineStr">
        <is>
          <t>N/A</t>
        </is>
      </c>
      <c r="M49" s="8" t="n"/>
      <c r="N49" s="8" t="n"/>
      <c r="O49" s="13" t="inlineStr">
        <is>
          <t>Spec 6.6 (Notifications)
→ "Approval requests, reminders, send-backs, and completion notifications via email/Slack DM."</t>
        </is>
      </c>
      <c r="P49" s="3" t="n"/>
      <c r="Q49" s="3" t="n"/>
      <c r="R49" s="3" t="n"/>
      <c r="S49" s="3" t="n"/>
      <c r="T49" s="3" t="n"/>
      <c r="U49" s="3" t="n"/>
      <c r="V49" s="3" t="n"/>
      <c r="W49" s="3" t="n"/>
      <c r="X49" s="3" t="n"/>
      <c r="Y49" s="3" t="n"/>
      <c r="Z49" s="3" t="n"/>
    </row>
    <row r="50" hidden="1" s="54">
      <c r="A50" s="13" t="inlineStr">
        <is>
          <t>TC-NTF-002</t>
        </is>
      </c>
      <c r="B50" s="13" t="inlineStr">
        <is>
          <t>Notifications</t>
        </is>
      </c>
      <c r="C50" s="13" t="inlineStr">
        <is>
          <t>Email</t>
        </is>
      </c>
      <c r="D50" s="13" t="inlineStr">
        <is>
          <t>Email notification on approval completion</t>
        </is>
      </c>
      <c r="E50" s="13" t="inlineStr">
        <is>
          <t>Ringi approved by all approvers</t>
        </is>
      </c>
      <c r="F50" s="13" t="inlineStr">
        <is>
          <t>1. Final approver approves ringi
2. Check requester's email inbox
3. Verify completion email received</t>
        </is>
      </c>
      <c r="G50" s="13" t="inlineStr">
        <is>
          <t>Requester receives completion email with summary of approval chain.</t>
        </is>
      </c>
      <c r="H50" s="9" t="inlineStr">
        <is>
          <t>P2</t>
        </is>
      </c>
      <c r="I50" s="10" t="inlineStr">
        <is>
          <t>Not Yet Implemented</t>
        </is>
      </c>
      <c r="J50" s="13" t="inlineStr">
        <is>
          <t>No email delivery system.</t>
        </is>
      </c>
      <c r="K50" s="13" t="inlineStr">
        <is>
          <t>https://eb-filemg-development.vercel.app</t>
        </is>
      </c>
      <c r="L50" s="7" t="inlineStr">
        <is>
          <t>N/A</t>
        </is>
      </c>
      <c r="M50" s="8" t="n"/>
      <c r="N50" s="8" t="n"/>
      <c r="O50" s="13" t="inlineStr">
        <is>
          <t>Spec 6.6 (Notifications)
→ "Approval requests, reminders, send-backs, and completion notifications via email/Slack DM."</t>
        </is>
      </c>
      <c r="P50" s="3" t="n"/>
      <c r="Q50" s="3" t="n"/>
      <c r="R50" s="3" t="n"/>
      <c r="S50" s="3" t="n"/>
      <c r="T50" s="3" t="n"/>
      <c r="U50" s="3" t="n"/>
      <c r="V50" s="3" t="n"/>
      <c r="W50" s="3" t="n"/>
      <c r="X50" s="3" t="n"/>
      <c r="Y50" s="3" t="n"/>
      <c r="Z50" s="3" t="n"/>
    </row>
    <row r="51" hidden="1" s="54">
      <c r="A51" s="13" t="inlineStr">
        <is>
          <t>TC-NTF-003</t>
        </is>
      </c>
      <c r="B51" s="13" t="inlineStr">
        <is>
          <t>Notifications</t>
        </is>
      </c>
      <c r="C51" s="13" t="inlineStr">
        <is>
          <t>Email</t>
        </is>
      </c>
      <c r="D51" s="13" t="inlineStr">
        <is>
          <t>Email notification on send-back</t>
        </is>
      </c>
      <c r="E51" s="13" t="inlineStr">
        <is>
          <t>Ringi sent back by approver</t>
        </is>
      </c>
      <c r="F51" s="13" t="inlineStr">
        <is>
          <t>1. Approver sends back ringi with comments
2. Check requester's email inbox
3. Verify email contains send-back reason and link to edit</t>
        </is>
      </c>
      <c r="G51" s="13" t="inlineStr">
        <is>
          <t>Requester receives email with send-back reason and link to edit the ringi.</t>
        </is>
      </c>
      <c r="H51" s="9" t="inlineStr">
        <is>
          <t>P2</t>
        </is>
      </c>
      <c r="I51" s="10" t="inlineStr">
        <is>
          <t>Not Yet Implemented</t>
        </is>
      </c>
      <c r="J51" s="13" t="inlineStr">
        <is>
          <t>No email delivery system.</t>
        </is>
      </c>
      <c r="K51" s="13" t="inlineStr">
        <is>
          <t>https://eb-filemg-development.vercel.app</t>
        </is>
      </c>
      <c r="L51" s="7" t="inlineStr">
        <is>
          <t>N/A</t>
        </is>
      </c>
      <c r="M51" s="8" t="n"/>
      <c r="N51" s="8" t="n"/>
      <c r="O51" s="13" t="inlineStr">
        <is>
          <t>Spec 6.6 (Notifications)
→ "Approval requests, reminders, send-backs, and completion notifications via email/Slack DM."</t>
        </is>
      </c>
      <c r="P51" s="3" t="n"/>
      <c r="Q51" s="3" t="n"/>
      <c r="R51" s="3" t="n"/>
      <c r="S51" s="3" t="n"/>
      <c r="T51" s="3" t="n"/>
      <c r="U51" s="3" t="n"/>
      <c r="V51" s="3" t="n"/>
      <c r="W51" s="3" t="n"/>
      <c r="X51" s="3" t="n"/>
      <c r="Y51" s="3" t="n"/>
      <c r="Z51" s="3" t="n"/>
    </row>
    <row r="52" s="54">
      <c r="A52" s="13" t="inlineStr">
        <is>
          <t>TC-NTF-004</t>
        </is>
      </c>
      <c r="B52" s="13" t="inlineStr">
        <is>
          <t>Notifications</t>
        </is>
      </c>
      <c r="C52" s="13" t="inlineStr">
        <is>
          <t>Slack</t>
        </is>
      </c>
      <c r="D52" s="13" t="inlineStr">
        <is>
          <t>Slack DM on approval request</t>
        </is>
      </c>
      <c r="E52" s="13" t="inlineStr">
        <is>
          <t>Ringi submitted, Slack integration configured</t>
        </is>
      </c>
      <c r="F52" s="13" t="inlineStr">
        <is>
          <t>1. Submit ringi
2. Check approver's Slack DM
3. Verify message contains ringi details
4. Verify interactive action buttons present</t>
        </is>
      </c>
      <c r="G52" s="13" t="inlineStr">
        <is>
          <t>Approver receives Slack DM with ringi details and action buttons (Approve/Send Back).</t>
        </is>
      </c>
      <c r="H52" s="9" t="inlineStr">
        <is>
          <t>P2</t>
        </is>
      </c>
      <c r="I52" s="10" t="inlineStr">
        <is>
          <t>Not Yet Implemented</t>
        </is>
      </c>
      <c r="J52" s="13" t="inlineStr">
        <is>
          <t>No Slack integration.</t>
        </is>
      </c>
      <c r="K52" s="13" t="inlineStr">
        <is>
          <t>https://eb-filemg-development.vercel.app</t>
        </is>
      </c>
      <c r="L52" s="7" t="inlineStr">
        <is>
          <t>N/A</t>
        </is>
      </c>
      <c r="M52" s="8" t="n"/>
      <c r="N52" s="8" t="n"/>
      <c r="O52" s="13" t="inlineStr">
        <is>
          <t>Spec 6.6 (Notifications)
→ "Approval requests, reminders, send-backs, and completion notifications via email/Slack DM."</t>
        </is>
      </c>
      <c r="P52" s="3" t="n"/>
      <c r="Q52" s="3" t="n"/>
      <c r="R52" s="3" t="n"/>
      <c r="S52" s="3" t="n"/>
      <c r="T52" s="3" t="n"/>
      <c r="U52" s="3" t="n"/>
      <c r="V52" s="3" t="n"/>
      <c r="W52" s="3" t="n"/>
      <c r="X52" s="3" t="n"/>
      <c r="Y52" s="3" t="n"/>
      <c r="Z52" s="3" t="n"/>
    </row>
    <row r="53" s="54">
      <c r="A53" s="13" t="inlineStr">
        <is>
          <t>TC-NTF-005</t>
        </is>
      </c>
      <c r="B53" s="13" t="inlineStr">
        <is>
          <t>Notifications</t>
        </is>
      </c>
      <c r="C53" s="13" t="inlineStr">
        <is>
          <t>Slack</t>
        </is>
      </c>
      <c r="D53" s="13" t="inlineStr">
        <is>
          <t>Approve from Slack interactive message</t>
        </is>
      </c>
      <c r="E53" s="13" t="inlineStr">
        <is>
          <t>Approver receives Slack notification with action buttons</t>
        </is>
      </c>
      <c r="F53" s="13" t="inlineStr">
        <is>
          <t>1. Receive Slack DM with approval request
2. Click 'Approve' button in Slack message
3. Check ringi status in app
4. Verify audit log records Slack-initiated approval</t>
        </is>
      </c>
      <c r="G53" s="13" t="inlineStr">
        <is>
          <t>Approval processed from Slack. Status updated in app. Audit log records source as Slack.</t>
        </is>
      </c>
      <c r="H53" s="9" t="inlineStr">
        <is>
          <t>P2</t>
        </is>
      </c>
      <c r="I53" s="10" t="inlineStr">
        <is>
          <t>Not Yet Implemented</t>
        </is>
      </c>
      <c r="J53" s="13" t="inlineStr">
        <is>
          <t>No Slack interactive message handling.</t>
        </is>
      </c>
      <c r="K53" s="13" t="inlineStr">
        <is>
          <t>https://eb-filemg-development.vercel.app</t>
        </is>
      </c>
      <c r="L53" s="7" t="inlineStr">
        <is>
          <t>N/A</t>
        </is>
      </c>
      <c r="M53" s="8" t="n"/>
      <c r="N53" s="8" t="n"/>
      <c r="O53" s="13" t="inlineStr">
        <is>
          <t>Spec 6.6 (Notifications)
→ "Approval requests, reminders, send-backs, and completion notifications via email/Slack DM."</t>
        </is>
      </c>
      <c r="P53" s="3" t="n"/>
      <c r="Q53" s="3" t="n"/>
      <c r="R53" s="3" t="n"/>
      <c r="S53" s="3" t="n"/>
      <c r="T53" s="3" t="n"/>
      <c r="U53" s="3" t="n"/>
      <c r="V53" s="3" t="n"/>
      <c r="W53" s="3" t="n"/>
      <c r="X53" s="3" t="n"/>
      <c r="Y53" s="3" t="n"/>
      <c r="Z53" s="3" t="n"/>
    </row>
    <row r="54" s="54">
      <c r="A54" s="13" t="inlineStr">
        <is>
          <t>TC-NTF-006</t>
        </is>
      </c>
      <c r="B54" s="13" t="inlineStr">
        <is>
          <t>Notifications</t>
        </is>
      </c>
      <c r="C54" s="13" t="inlineStr">
        <is>
          <t>Chat Card</t>
        </is>
      </c>
      <c r="D54" s="13" t="inlineStr">
        <is>
          <t>Approve/Send-back from chat card</t>
        </is>
      </c>
      <c r="E54" s="13" t="inlineStr">
        <is>
          <t>Ringi notification appears in chat interface</t>
        </is>
      </c>
      <c r="F54" s="13" t="inlineStr">
        <is>
          <t>1. Navigate to chat (/c)
2. Find approval request card in conversation
3. Click 'Approve' or 'Send Back' action button on the card
4. Verify action processed without navigating to detail page</t>
        </is>
      </c>
      <c r="G54" s="13" t="inlineStr">
        <is>
          <t>Action taken directly from chat UI card. Status updated. No navigation away from chat needed.</t>
        </is>
      </c>
      <c r="H54" s="9" t="inlineStr">
        <is>
          <t>P2</t>
        </is>
      </c>
      <c r="I54" s="10" t="inlineStr">
        <is>
          <t>Not Yet Implemented</t>
        </is>
      </c>
      <c r="J54" s="13" t="inlineStr">
        <is>
          <t>Chat card with inline action buttons not implemented.</t>
        </is>
      </c>
      <c r="K54" s="13" t="inlineStr">
        <is>
          <t>https://eb-filemg-development.vercel.app</t>
        </is>
      </c>
      <c r="L54" s="7" t="inlineStr">
        <is>
          <t>N/A</t>
        </is>
      </c>
      <c r="M54" s="8" t="n"/>
      <c r="N54" s="8" t="n"/>
      <c r="O54" s="13" t="inlineStr">
        <is>
          <t>Spec 6.6 (Notifications)
→ "Approve/send back from chat cards."</t>
        </is>
      </c>
      <c r="P54" s="3" t="n"/>
      <c r="Q54" s="3" t="n"/>
      <c r="R54" s="3" t="n"/>
      <c r="S54" s="3" t="n"/>
      <c r="T54" s="3" t="n"/>
      <c r="U54" s="3" t="n"/>
      <c r="V54" s="3" t="n"/>
      <c r="W54" s="3" t="n"/>
      <c r="X54" s="3" t="n"/>
      <c r="Y54" s="3" t="n"/>
      <c r="Z54" s="3" t="n"/>
    </row>
    <row r="55" s="54">
      <c r="A55" s="13" t="inlineStr">
        <is>
          <t>TC-NTF-007</t>
        </is>
      </c>
      <c r="B55" s="13" t="inlineStr">
        <is>
          <t>Notifications</t>
        </is>
      </c>
      <c r="C55" s="13" t="inlineStr">
        <is>
          <t>Center</t>
        </is>
      </c>
      <c r="D55" s="13" t="inlineStr">
        <is>
          <t>Notification center with accurate pending count</t>
        </is>
      </c>
      <c r="E55" s="13" t="inlineStr">
        <is>
          <t>User has pending approval items assigned</t>
        </is>
      </c>
      <c r="F55" s="13" t="inlineStr">
        <is>
          <t>1. Log in as approver with pending items
2. Check notification bell icon in navbar
3. Verify bell shows accurate count (not hardcoded)
4. Click bell to open notification center
5. View list of pending notifications</t>
        </is>
      </c>
      <c r="G55" s="13" t="inlineStr">
        <is>
          <t>Bell shows real count of pending items. Notification center lists recent requests, reminders, completions.</t>
        </is>
      </c>
      <c r="H55" s="9" t="inlineStr">
        <is>
          <t>P2</t>
        </is>
      </c>
      <c r="I55" s="12" t="inlineStr">
        <is>
          <t>Partially Implemented</t>
        </is>
      </c>
      <c r="J55" s="13" t="inlineStr">
        <is>
          <t>Notification bell exists in Navbar but shows hardcoded count. No real notification center or dynamic count.</t>
        </is>
      </c>
      <c r="K55" s="13" t="inlineStr">
        <is>
          <t>https://eb-filemg-development.vercel.app</t>
        </is>
      </c>
      <c r="L55" s="7" t="inlineStr">
        <is>
          <t>N/A</t>
        </is>
      </c>
      <c r="M55" s="8" t="n"/>
      <c r="N55" s="8" t="n"/>
      <c r="O55" s="13" t="inlineStr">
        <is>
          <t>Spec 6.6 (Notifications)
→ "Display pending count in the notification center."</t>
        </is>
      </c>
      <c r="P55" s="3" t="n"/>
      <c r="Q55" s="3" t="n"/>
      <c r="R55" s="3" t="n"/>
      <c r="S55" s="3" t="n"/>
      <c r="T55" s="3" t="n"/>
      <c r="U55" s="3" t="n"/>
      <c r="V55" s="3" t="n"/>
      <c r="W55" s="3" t="n"/>
      <c r="X55" s="3" t="n"/>
      <c r="Y55" s="3" t="n"/>
      <c r="Z55" s="3" t="n"/>
    </row>
    <row r="56" s="54">
      <c r="A56" s="13" t="inlineStr">
        <is>
          <t>TC-NTF-008</t>
        </is>
      </c>
      <c r="B56" s="13" t="inlineStr">
        <is>
          <t>Notifications</t>
        </is>
      </c>
      <c r="C56" s="13" t="inlineStr">
        <is>
          <t>Preferences</t>
        </is>
      </c>
      <c r="D56" s="13" t="inlineStr">
        <is>
          <t>Configure notification preferences</t>
        </is>
      </c>
      <c r="E56" s="13" t="inlineStr">
        <is>
          <t>User logged in</t>
        </is>
      </c>
      <c r="F56" s="13" t="inlineStr">
        <is>
          <t>1. Navigate to notification settings/preferences
2. Toggle email notifications ON/OFF
3. Toggle Slack notifications ON/OFF
4. Set notification frequency
5. Save preferences</t>
        </is>
      </c>
      <c r="G56" s="13" t="inlineStr">
        <is>
          <t>User can customize notification channels and frequency. Settings persisted across sessions.</t>
        </is>
      </c>
      <c r="H56" s="11" t="inlineStr">
        <is>
          <t>P3</t>
        </is>
      </c>
      <c r="I56" s="10" t="inlineStr">
        <is>
          <t>Not Yet Implemented</t>
        </is>
      </c>
      <c r="J56" s="13" t="inlineStr">
        <is>
          <t>No notification preferences UI or storage.</t>
        </is>
      </c>
      <c r="K56" s="13" t="inlineStr">
        <is>
          <t>https://eb-filemg-development.vercel.app</t>
        </is>
      </c>
      <c r="L56" s="7" t="inlineStr">
        <is>
          <t>N/A</t>
        </is>
      </c>
      <c r="M56" s="8" t="n"/>
      <c r="N56" s="8" t="n"/>
      <c r="O56" s="13" t="inlineStr">
        <is>
          <t>Spec 6.6 (Notifications)
→ "Approval requests, reminders, send-backs, and completion notifications via email/Slack DM."</t>
        </is>
      </c>
      <c r="P56" s="3" t="n"/>
      <c r="Q56" s="3" t="n"/>
      <c r="R56" s="3" t="n"/>
      <c r="S56" s="3" t="n"/>
      <c r="T56" s="3" t="n"/>
      <c r="U56" s="3" t="n"/>
      <c r="V56" s="3" t="n"/>
      <c r="W56" s="3" t="n"/>
      <c r="X56" s="3" t="n"/>
      <c r="Y56" s="3" t="n"/>
      <c r="Z56" s="3" t="n"/>
    </row>
    <row r="57" s="54">
      <c r="A57" s="13" t="inlineStr">
        <is>
          <t>TC-SRC-001</t>
        </is>
      </c>
      <c r="B57" s="13" t="inlineStr">
        <is>
          <t>Search &amp; Reference</t>
        </is>
      </c>
      <c r="C57" s="13" t="inlineStr">
        <is>
          <t>Search</t>
        </is>
      </c>
      <c r="D57" s="13" t="inlineStr">
        <is>
          <t>Search ringi by title/subject</t>
        </is>
      </c>
      <c r="E57" s="13" t="inlineStr">
        <is>
          <t>Multiple ringi exist in system</t>
        </is>
      </c>
      <c r="F57" s="13" t="inlineStr">
        <is>
          <t>1. Navigate to dashboard
2. Enter partial title in search box (e.g., 'Office')
3. Verify matching ringi appear</t>
        </is>
      </c>
      <c r="G57" s="13" t="inlineStr">
        <is>
          <t>Results filtered to show ringi with matching title. Search works in real-time as user types.</t>
        </is>
      </c>
      <c r="H57" s="5" t="inlineStr">
        <is>
          <t>P1</t>
        </is>
      </c>
      <c r="I57" s="6" t="inlineStr">
        <is>
          <t>Implemented</t>
        </is>
      </c>
      <c r="J57" s="13" t="inlineStr">
        <is>
          <t>Search by title works in dashboard.</t>
        </is>
      </c>
      <c r="K57" s="13" t="inlineStr">
        <is>
          <t>https://eb-filemg-development.vercel.app</t>
        </is>
      </c>
      <c r="L57" s="7" t="inlineStr">
        <is>
          <t>N/A</t>
        </is>
      </c>
      <c r="M57" s="8" t="n"/>
      <c r="N57" s="8" t="n"/>
      <c r="O57" s="13" t="inlineStr">
        <is>
          <t>Spec 6.5 (Search &amp; Reference)
→ "Search/filter by Ringi ID, subject, applicant, department, amount range, status, and period."</t>
        </is>
      </c>
      <c r="P57" s="3" t="n"/>
      <c r="Q57" s="3" t="n"/>
      <c r="R57" s="3" t="n"/>
      <c r="S57" s="3" t="n"/>
      <c r="T57" s="3" t="n"/>
      <c r="U57" s="3" t="n"/>
      <c r="V57" s="3" t="n"/>
      <c r="W57" s="3" t="n"/>
      <c r="X57" s="3" t="n"/>
      <c r="Y57" s="3" t="n"/>
      <c r="Z57" s="3" t="n"/>
    </row>
    <row r="58" s="54">
      <c r="A58" s="13" t="inlineStr">
        <is>
          <t>TC-SRC-002</t>
        </is>
      </c>
      <c r="B58" s="13" t="inlineStr">
        <is>
          <t>Search &amp; Reference</t>
        </is>
      </c>
      <c r="C58" s="13" t="inlineStr">
        <is>
          <t>Search</t>
        </is>
      </c>
      <c r="D58" s="13" t="inlineStr">
        <is>
          <t>Search ringi by vendor name</t>
        </is>
      </c>
      <c r="E58" s="13" t="inlineStr">
        <is>
          <t>Multiple ringi with different vendors exist</t>
        </is>
      </c>
      <c r="F58" s="13" t="inlineStr">
        <is>
          <t>1. Navigate to dashboard
2. Search by vendor name (e.g., 'Dell')
3. Verify matching ringi appear</t>
        </is>
      </c>
      <c r="G58" s="13" t="inlineStr">
        <is>
          <t>Results show ringi with matching vendor name.</t>
        </is>
      </c>
      <c r="H58" s="5" t="inlineStr">
        <is>
          <t>P1</t>
        </is>
      </c>
      <c r="I58" s="6" t="inlineStr">
        <is>
          <t>Implemented</t>
        </is>
      </c>
      <c r="J58" s="13" t="inlineStr">
        <is>
          <t>Search covers vendor_name field.</t>
        </is>
      </c>
      <c r="K58" s="13" t="inlineStr">
        <is>
          <t>https://eb-filemg-development.vercel.app</t>
        </is>
      </c>
      <c r="L58" s="7" t="inlineStr">
        <is>
          <t>N/A</t>
        </is>
      </c>
      <c r="M58" s="8" t="n"/>
      <c r="N58" s="8" t="n"/>
      <c r="O58" s="13" t="inlineStr">
        <is>
          <t>Spec 6.5 (Search &amp; Reference)
→ "Search/filter by Ringi ID, subject, applicant, department, amount range, status, and period."</t>
        </is>
      </c>
      <c r="P58" s="3" t="n"/>
      <c r="Q58" s="3" t="n"/>
      <c r="R58" s="3" t="n"/>
      <c r="S58" s="3" t="n"/>
      <c r="T58" s="3" t="n"/>
      <c r="U58" s="3" t="n"/>
      <c r="V58" s="3" t="n"/>
      <c r="W58" s="3" t="n"/>
      <c r="X58" s="3" t="n"/>
      <c r="Y58" s="3" t="n"/>
      <c r="Z58" s="3" t="n"/>
    </row>
    <row r="59" s="54">
      <c r="A59" s="13" t="inlineStr">
        <is>
          <t>TC-SRC-003</t>
        </is>
      </c>
      <c r="B59" s="13" t="inlineStr">
        <is>
          <t>Search &amp; Reference</t>
        </is>
      </c>
      <c r="C59" s="13" t="inlineStr">
        <is>
          <t>Search</t>
        </is>
      </c>
      <c r="D59" s="13" t="inlineStr">
        <is>
          <t>Search ringi by ID</t>
        </is>
      </c>
      <c r="E59" s="13" t="inlineStr">
        <is>
          <t>Known ringi ID exists in system</t>
        </is>
      </c>
      <c r="F59" s="13" t="inlineStr">
        <is>
          <t>1. Navigate to dashboard
2. Enter ringi ID in search box
3. Verify matching ringi found</t>
        </is>
      </c>
      <c r="G59" s="13" t="inlineStr">
        <is>
          <t>Matching ringi found and displayed in results.</t>
        </is>
      </c>
      <c r="H59" s="9" t="inlineStr">
        <is>
          <t>P2</t>
        </is>
      </c>
      <c r="I59" s="6" t="inlineStr">
        <is>
          <t>Implemented</t>
        </is>
      </c>
      <c r="J59" s="13" t="inlineStr">
        <is>
          <t>Search includes ID matching.</t>
        </is>
      </c>
      <c r="K59" s="13" t="inlineStr">
        <is>
          <t>https://eb-filemg-development.vercel.app</t>
        </is>
      </c>
      <c r="L59" s="7" t="inlineStr">
        <is>
          <t>N/A</t>
        </is>
      </c>
      <c r="M59" s="8" t="n"/>
      <c r="N59" s="8" t="n"/>
      <c r="O59" s="13" t="inlineStr">
        <is>
          <t>Spec 6.5 (Search &amp; Reference)
→ "Search/filter by Ringi ID, subject, applicant, department, amount range, status, and period."</t>
        </is>
      </c>
      <c r="P59" s="3" t="n"/>
      <c r="Q59" s="3" t="n"/>
      <c r="R59" s="3" t="n"/>
      <c r="S59" s="3" t="n"/>
      <c r="T59" s="3" t="n"/>
      <c r="U59" s="3" t="n"/>
      <c r="V59" s="3" t="n"/>
      <c r="W59" s="3" t="n"/>
      <c r="X59" s="3" t="n"/>
      <c r="Y59" s="3" t="n"/>
      <c r="Z59" s="3" t="n"/>
    </row>
    <row r="60" hidden="1" s="54">
      <c r="A60" s="13" t="inlineStr">
        <is>
          <t>TC-SRC-004</t>
        </is>
      </c>
      <c r="B60" s="13" t="inlineStr">
        <is>
          <t>Search &amp; Reference</t>
        </is>
      </c>
      <c r="C60" s="13" t="inlineStr">
        <is>
          <t>Filter</t>
        </is>
      </c>
      <c r="D60" s="13" t="inlineStr">
        <is>
          <t>Filter ringi by status tabs</t>
        </is>
      </c>
      <c r="E60" s="13" t="inlineStr">
        <is>
          <t>Mix of ringi statuses exist in system</t>
        </is>
      </c>
      <c r="F60" s="13" t="inlineStr">
        <is>
          <t>1. Navigate to dashboard
2. Click 'Pending' tab
3. Verify only pending ringi shown
4. Click 'Approved' tab
5. Click 'Rejected' tab
6. Verify badge counts match actual counts</t>
        </is>
      </c>
      <c r="G60" s="13" t="inlineStr">
        <is>
          <t>Each tab shows only ringi with that status. Tab badge shows accurate count.</t>
        </is>
      </c>
      <c r="H60" s="5" t="inlineStr">
        <is>
          <t>P1</t>
        </is>
      </c>
      <c r="I60" s="6" t="inlineStr">
        <is>
          <t>Implemented</t>
        </is>
      </c>
      <c r="J60" s="13" t="inlineStr">
        <is>
          <t>Status tabs with counts work.</t>
        </is>
      </c>
      <c r="K60" s="13" t="inlineStr">
        <is>
          <t>https://eb-filemg-development.vercel.app</t>
        </is>
      </c>
      <c r="L60" s="7" t="inlineStr">
        <is>
          <t>N/A</t>
        </is>
      </c>
      <c r="M60" s="8" t="n"/>
      <c r="N60" s="8" t="n"/>
      <c r="O60" s="13" t="inlineStr">
        <is>
          <t>Spec 6.5 (Search &amp; Reference)
→ "Search/filter by Ringi ID, subject, applicant, department, amount range, status, and period."</t>
        </is>
      </c>
      <c r="P60" s="3" t="n"/>
      <c r="Q60" s="3" t="n"/>
      <c r="R60" s="3" t="n"/>
      <c r="S60" s="3" t="n"/>
      <c r="T60" s="3" t="n"/>
      <c r="U60" s="3" t="n"/>
      <c r="V60" s="3" t="n"/>
      <c r="W60" s="3" t="n"/>
      <c r="X60" s="3" t="n"/>
      <c r="Y60" s="3" t="n"/>
      <c r="Z60" s="3" t="n"/>
    </row>
    <row r="61" hidden="1" s="54">
      <c r="A61" s="13" t="inlineStr">
        <is>
          <t>TC-SRC-005</t>
        </is>
      </c>
      <c r="B61" s="13" t="inlineStr">
        <is>
          <t>Search &amp; Reference</t>
        </is>
      </c>
      <c r="C61" s="13" t="inlineStr">
        <is>
          <t>Filter</t>
        </is>
      </c>
      <c r="D61" s="13" t="inlineStr">
        <is>
          <t>Filter by category</t>
        </is>
      </c>
      <c r="E61" s="13" t="inlineStr">
        <is>
          <t>Mix of categories exist</t>
        </is>
      </c>
      <c r="F61" s="13" t="inlineStr">
        <is>
          <t>1. Click Filter button
2. Select Category: 'Purchasing'
3. Apply filter
4. Verify only Purchasing ringi shown
5. Check filter badge shows '1' active filter</t>
        </is>
      </c>
      <c r="G61" s="13" t="inlineStr">
        <is>
          <t>Only Purchasing category ringi shown. Filter badge shows 1 active filter.</t>
        </is>
      </c>
      <c r="H61" s="9" t="inlineStr">
        <is>
          <t>P2</t>
        </is>
      </c>
      <c r="I61" s="6" t="inlineStr">
        <is>
          <t>Implemented</t>
        </is>
      </c>
      <c r="J61" s="13" t="inlineStr">
        <is>
          <t>Category filter in ApprovalRequestFilter component.</t>
        </is>
      </c>
      <c r="K61" s="13" t="inlineStr">
        <is>
          <t>https://eb-filemg-development.vercel.app</t>
        </is>
      </c>
      <c r="L61" s="7" t="inlineStr">
        <is>
          <t>N/A</t>
        </is>
      </c>
      <c r="M61" s="8" t="n"/>
      <c r="N61" s="8" t="n"/>
      <c r="O61" s="13" t="inlineStr">
        <is>
          <t>Spec 6.5 (Search &amp; Reference)
→ "Search/filter by Ringi ID, subject, applicant, department, amount range, status, and period."</t>
        </is>
      </c>
      <c r="P61" s="3" t="n"/>
      <c r="Q61" s="3" t="n"/>
      <c r="R61" s="3" t="n"/>
      <c r="S61" s="3" t="n"/>
      <c r="T61" s="3" t="n"/>
      <c r="U61" s="3" t="n"/>
      <c r="V61" s="3" t="n"/>
      <c r="W61" s="3" t="n"/>
      <c r="X61" s="3" t="n"/>
      <c r="Y61" s="3" t="n"/>
      <c r="Z61" s="3" t="n"/>
    </row>
    <row r="62" hidden="1" s="54">
      <c r="A62" s="13" t="inlineStr">
        <is>
          <t>TC-SRC-006</t>
        </is>
      </c>
      <c r="B62" s="13" t="inlineStr">
        <is>
          <t>Search &amp; Reference</t>
        </is>
      </c>
      <c r="C62" s="13" t="inlineStr">
        <is>
          <t>Filter</t>
        </is>
      </c>
      <c r="D62" s="13" t="inlineStr">
        <is>
          <t>Filter by date range</t>
        </is>
      </c>
      <c r="E62" s="13" t="inlineStr">
        <is>
          <t>Ringi created on various dates</t>
        </is>
      </c>
      <c r="F62" s="13" t="inlineStr">
        <is>
          <t>1. Click Filter button
2. Set From Date: 2026-01-01
3. Set To Date: 2026-01-31
4. Apply filter
5. Verify only ringi within range shown</t>
        </is>
      </c>
      <c r="G62" s="13" t="inlineStr">
        <is>
          <t>Only ringi within Jan 2026 date range shown.</t>
        </is>
      </c>
      <c r="H62" s="9" t="inlineStr">
        <is>
          <t>P2</t>
        </is>
      </c>
      <c r="I62" s="6" t="inlineStr">
        <is>
          <t>Implemented</t>
        </is>
      </c>
      <c r="J62" s="13" t="inlineStr">
        <is>
          <t>Date range filter exists in filter panel.</t>
        </is>
      </c>
      <c r="K62" s="13" t="inlineStr">
        <is>
          <t>https://eb-filemg-development.vercel.app</t>
        </is>
      </c>
      <c r="L62" s="7" t="inlineStr">
        <is>
          <t>N/A</t>
        </is>
      </c>
      <c r="M62" s="8" t="n"/>
      <c r="N62" s="8" t="n"/>
      <c r="O62" s="13" t="inlineStr">
        <is>
          <t>Spec 6.5 (Search &amp; Reference)
→ "Search/filter by Ringi ID, subject, applicant, department, amount range, status, and period."</t>
        </is>
      </c>
      <c r="P62" s="3" t="n"/>
      <c r="Q62" s="3" t="n"/>
      <c r="R62" s="3" t="n"/>
      <c r="S62" s="3" t="n"/>
      <c r="T62" s="3" t="n"/>
      <c r="U62" s="3" t="n"/>
      <c r="V62" s="3" t="n"/>
      <c r="W62" s="3" t="n"/>
      <c r="X62" s="3" t="n"/>
      <c r="Y62" s="3" t="n"/>
      <c r="Z62" s="3" t="n"/>
    </row>
    <row r="63" hidden="1" s="54">
      <c r="A63" s="13" t="inlineStr">
        <is>
          <t>TC-SRC-007</t>
        </is>
      </c>
      <c r="B63" s="13" t="inlineStr">
        <is>
          <t>Search &amp; Reference</t>
        </is>
      </c>
      <c r="C63" s="13" t="inlineStr">
        <is>
          <t>Filter</t>
        </is>
      </c>
      <c r="D63" s="13" t="inlineStr">
        <is>
          <t>Filter by amount range</t>
        </is>
      </c>
      <c r="E63" s="13" t="inlineStr">
        <is>
          <t>Ringi with various amounts exist</t>
        </is>
      </c>
      <c r="F63" s="13" t="inlineStr">
        <is>
          <t>1. Navigate to dashboard
2. Filter by amount range (e.g., 100,000 - 500,000)
3. Verify only ringi within amount range shown</t>
        </is>
      </c>
      <c r="G63" s="13" t="inlineStr">
        <is>
          <t>Only ringi within amount range shown. Filter badge updated.</t>
        </is>
      </c>
      <c r="H63" s="11" t="inlineStr">
        <is>
          <t>P3</t>
        </is>
      </c>
      <c r="I63" s="10" t="inlineStr">
        <is>
          <t>Not Yet Implemented</t>
        </is>
      </c>
      <c r="J63" s="13" t="inlineStr">
        <is>
          <t>No amount range filter in current UI. Spec section 6.5 requires it.</t>
        </is>
      </c>
      <c r="K63" s="13" t="inlineStr">
        <is>
          <t>https://eb-filemg-development.vercel.app</t>
        </is>
      </c>
      <c r="L63" s="7" t="inlineStr">
        <is>
          <t>N/A</t>
        </is>
      </c>
      <c r="M63" s="8" t="n"/>
      <c r="N63" s="8" t="n"/>
      <c r="O63" s="13" t="inlineStr">
        <is>
          <t>Spec 6.5 (Search &amp; Reference)
→ "Search/filter by Ringi ID, subject, applicant, department, amount range, status, and period."</t>
        </is>
      </c>
      <c r="P63" s="3" t="n"/>
      <c r="Q63" s="3" t="n"/>
      <c r="R63" s="3" t="n"/>
      <c r="S63" s="3" t="n"/>
      <c r="T63" s="3" t="n"/>
      <c r="U63" s="3" t="n"/>
      <c r="V63" s="3" t="n"/>
      <c r="W63" s="3" t="n"/>
      <c r="X63" s="3" t="n"/>
      <c r="Y63" s="3" t="n"/>
      <c r="Z63" s="3" t="n"/>
    </row>
    <row r="64" hidden="1" s="54">
      <c r="A64" s="13" t="inlineStr">
        <is>
          <t>TC-SRC-008</t>
        </is>
      </c>
      <c r="B64" s="13" t="inlineStr">
        <is>
          <t>Search &amp; Reference</t>
        </is>
      </c>
      <c r="C64" s="13" t="inlineStr">
        <is>
          <t>Timeline</t>
        </is>
      </c>
      <c r="D64" s="13" t="inlineStr">
        <is>
          <t>View approval history as timeline</t>
        </is>
      </c>
      <c r="E64" s="13" t="inlineStr">
        <is>
          <t>Approved ringi with step history exists</t>
        </is>
      </c>
      <c r="F64" s="13" t="inlineStr">
        <is>
          <t>1. Navigate to approved ringi detail page
2. Switch to Timeline tab
3. View chronological approval history</t>
        </is>
      </c>
      <c r="G64" s="13" t="inlineStr">
        <is>
          <t>Timeline shows chronological actions: submission, each approval step, comments, timestamps.</t>
        </is>
      </c>
      <c r="H64" s="9" t="inlineStr">
        <is>
          <t>P2</t>
        </is>
      </c>
      <c r="I64" s="12" t="inlineStr">
        <is>
          <t>Partially Implemented</t>
        </is>
      </c>
      <c r="J64" s="13" t="inlineStr">
        <is>
          <t>ApprovalRouteTimeline exists but shows static 3-step visualization. Not connected to real step history.</t>
        </is>
      </c>
      <c r="K64" s="13" t="inlineStr">
        <is>
          <t>https://eb-filemg-development.vercel.app</t>
        </is>
      </c>
      <c r="L64" s="7" t="inlineStr">
        <is>
          <t>N/A</t>
        </is>
      </c>
      <c r="M64" s="8" t="n"/>
      <c r="N64" s="8" t="n"/>
      <c r="O64" s="13" t="inlineStr">
        <is>
          <t>Spec 6.5 (Search &amp; Reference)
→ "Display approval history timeline. Link attachments on Drive with metadata."</t>
        </is>
      </c>
      <c r="P64" s="3" t="n"/>
      <c r="Q64" s="3" t="n"/>
      <c r="R64" s="3" t="n"/>
      <c r="S64" s="3" t="n"/>
      <c r="T64" s="3" t="n"/>
      <c r="U64" s="3" t="n"/>
      <c r="V64" s="3" t="n"/>
      <c r="W64" s="3" t="n"/>
      <c r="X64" s="3" t="n"/>
      <c r="Y64" s="3" t="n"/>
      <c r="Z64" s="3" t="n"/>
    </row>
    <row r="65" hidden="1" s="54">
      <c r="A65" s="13" t="inlineStr">
        <is>
          <t>TC-RPT-001</t>
        </is>
      </c>
      <c r="B65" s="13" t="inlineStr">
        <is>
          <t>Reporting</t>
        </is>
      </c>
      <c r="C65" s="13" t="inlineStr">
        <is>
          <t>Dashboard</t>
        </is>
      </c>
      <c r="D65" s="13" t="inlineStr">
        <is>
          <t>View approval lead time metrics</t>
        </is>
      </c>
      <c r="E65" s="13" t="inlineStr">
        <is>
          <t>Multiple approved ringi in system</t>
        </is>
      </c>
      <c r="F65" s="13" t="inlineStr">
        <is>
          <t>1. Navigate to reporting dashboard
2. View 'Approval Lead Time' metric
3. Check average, median, min, max lead times
4. Verify trends over time</t>
        </is>
      </c>
      <c r="G65" s="13" t="inlineStr">
        <is>
          <t>Dashboard shows lead time statistics (submitted_at to approved_at). Trends visible as chart.</t>
        </is>
      </c>
      <c r="H65" s="9" t="inlineStr">
        <is>
          <t>P2</t>
        </is>
      </c>
      <c r="I65" s="10" t="inlineStr">
        <is>
          <t>Not Yet Implemented</t>
        </is>
      </c>
      <c r="J65" s="13" t="inlineStr">
        <is>
          <t>No reporting dashboard. No lead time calculation.</t>
        </is>
      </c>
      <c r="K65" s="13" t="inlineStr">
        <is>
          <t>https://eb-filemg-development.vercel.app</t>
        </is>
      </c>
      <c r="L65" s="7" t="inlineStr">
        <is>
          <t>N/A</t>
        </is>
      </c>
      <c r="M65" s="8" t="n"/>
      <c r="N65" s="8" t="n"/>
      <c r="O65" s="13" t="inlineStr">
        <is>
          <t>Spec 6.8 (Reporting)
→ "Dashboard for approval lead time, send-back rate, count by category, and delay rankings."</t>
        </is>
      </c>
      <c r="P65" s="3" t="n"/>
      <c r="Q65" s="3" t="n"/>
      <c r="R65" s="3" t="n"/>
      <c r="S65" s="3" t="n"/>
      <c r="T65" s="3" t="n"/>
      <c r="U65" s="3" t="n"/>
      <c r="V65" s="3" t="n"/>
      <c r="W65" s="3" t="n"/>
      <c r="X65" s="3" t="n"/>
      <c r="Y65" s="3" t="n"/>
      <c r="Z65" s="3" t="n"/>
    </row>
    <row r="66" s="54">
      <c r="A66" s="13" t="inlineStr">
        <is>
          <t>TC-RPT-002</t>
        </is>
      </c>
      <c r="B66" s="13" t="inlineStr">
        <is>
          <t>Reporting</t>
        </is>
      </c>
      <c r="C66" s="13" t="inlineStr">
        <is>
          <t>Dashboard</t>
        </is>
      </c>
      <c r="D66" s="13" t="inlineStr">
        <is>
          <t>View send-back rate</t>
        </is>
      </c>
      <c r="E66" s="13" t="inlineStr">
        <is>
          <t>Mix of sent-back and approved ringi in system</t>
        </is>
      </c>
      <c r="F66" s="13" t="inlineStr">
        <is>
          <t>1. Navigate to reporting dashboard
2. View 'Send-back Rate' metric
3. Check percentage and trend</t>
        </is>
      </c>
      <c r="G66" s="13" t="inlineStr">
        <is>
          <t>sen</t>
        </is>
      </c>
      <c r="H66" s="9" t="inlineStr">
        <is>
          <t>P2</t>
        </is>
      </c>
      <c r="I66" s="10" t="inlineStr">
        <is>
          <t>Not Yet Implemented</t>
        </is>
      </c>
      <c r="J66" s="13" t="inlineStr">
        <is>
          <t>No send-back rate aggregation.</t>
        </is>
      </c>
      <c r="K66" s="13" t="inlineStr">
        <is>
          <t>https://eb-filemg-development.vercel.app</t>
        </is>
      </c>
      <c r="L66" s="7" t="inlineStr">
        <is>
          <t>N/A</t>
        </is>
      </c>
      <c r="M66" s="8" t="n"/>
      <c r="N66" s="8" t="n"/>
      <c r="O66" s="13" t="inlineStr">
        <is>
          <t>Spec 6.8 (Reporting)
→ "Dashboard for approval lead time, send-back rate, count by category, and delay rankings."</t>
        </is>
      </c>
      <c r="P66" s="3" t="n"/>
      <c r="Q66" s="3" t="n"/>
      <c r="R66" s="3" t="n"/>
      <c r="S66" s="3" t="n"/>
      <c r="T66" s="3" t="n"/>
      <c r="U66" s="3" t="n"/>
      <c r="V66" s="3" t="n"/>
      <c r="W66" s="3" t="n"/>
      <c r="X66" s="3" t="n"/>
      <c r="Y66" s="3" t="n"/>
      <c r="Z66" s="3" t="n"/>
    </row>
    <row r="67" s="54">
      <c r="A67" s="13" t="inlineStr">
        <is>
          <t>TC-RPT-003</t>
        </is>
      </c>
      <c r="B67" s="13" t="inlineStr">
        <is>
          <t>Reporting</t>
        </is>
      </c>
      <c r="C67" s="13" t="inlineStr">
        <is>
          <t>Dashboard</t>
        </is>
      </c>
      <c r="D67" s="13" t="inlineStr">
        <is>
          <t>View count by category</t>
        </is>
      </c>
      <c r="E67" s="13" t="inlineStr">
        <is>
          <t>Ringi in multiple categories exist</t>
        </is>
      </c>
      <c r="F67" s="13" t="inlineStr">
        <is>
          <t>1. Navigate to reporting dashboard
2. View 'By Category' chart/breakdown
3. Verify all categories represented</t>
        </is>
      </c>
      <c r="G67" s="13" t="inlineStr">
        <is>
          <t>Bar chart or table showing ringi count per category. All categories included.</t>
        </is>
      </c>
      <c r="H67" s="11" t="inlineStr">
        <is>
          <t>P3</t>
        </is>
      </c>
      <c r="I67" s="10" t="inlineStr">
        <is>
          <t>Not Yet Implemented</t>
        </is>
      </c>
      <c r="J67" s="13" t="inlineStr">
        <is>
          <t>No category breakdown chart.</t>
        </is>
      </c>
      <c r="K67" s="13" t="inlineStr">
        <is>
          <t>https://eb-filemg-development.vercel.app</t>
        </is>
      </c>
      <c r="L67" s="7" t="inlineStr">
        <is>
          <t>N/A</t>
        </is>
      </c>
      <c r="M67" s="8" t="n"/>
      <c r="N67" s="8" t="n"/>
      <c r="O67" s="13" t="inlineStr">
        <is>
          <t>Spec 6.8 (Reporting)
→ "Dashboard for approval lead time, send-back rate, count by category, and delay rankings."</t>
        </is>
      </c>
      <c r="P67" s="3" t="n"/>
      <c r="Q67" s="3" t="n"/>
      <c r="R67" s="3" t="n"/>
      <c r="S67" s="3" t="n"/>
      <c r="T67" s="3" t="n"/>
      <c r="U67" s="3" t="n"/>
      <c r="V67" s="3" t="n"/>
      <c r="W67" s="3" t="n"/>
      <c r="X67" s="3" t="n"/>
      <c r="Y67" s="3" t="n"/>
      <c r="Z67" s="3" t="n"/>
    </row>
    <row r="68" s="54">
      <c r="A68" s="13" t="inlineStr">
        <is>
          <t>TC-RPT-004</t>
        </is>
      </c>
      <c r="B68" s="13" t="inlineStr">
        <is>
          <t>Reporting</t>
        </is>
      </c>
      <c r="C68" s="13" t="inlineStr">
        <is>
          <t>Dashboard</t>
        </is>
      </c>
      <c r="D68" s="13" t="inlineStr">
        <is>
          <t>View delay rankings</t>
        </is>
      </c>
      <c r="E68" s="13" t="inlineStr">
        <is>
          <t>Pending ringi with various ages in system</t>
        </is>
      </c>
      <c r="F68" s="13" t="inlineStr">
        <is>
          <t>1. Navigate to reporting dashboard
2. View 'Delay Rankings' or 'Longest Pending' section</t>
        </is>
      </c>
      <c r="G68" s="13" t="inlineStr">
        <is>
          <t>List of longest-pending ringi ranked by waiting time. Links to each ringi detail.</t>
        </is>
      </c>
      <c r="H68" s="11" t="inlineStr">
        <is>
          <t>P3</t>
        </is>
      </c>
      <c r="I68" s="10" t="inlineStr">
        <is>
          <t>Not Yet Implemented</t>
        </is>
      </c>
      <c r="J68" s="13" t="inlineStr">
        <is>
          <t>No delay ranking feature.</t>
        </is>
      </c>
      <c r="K68" s="13" t="inlineStr">
        <is>
          <t>https://eb-filemg-development.vercel.app</t>
        </is>
      </c>
      <c r="L68" s="7" t="inlineStr">
        <is>
          <t>N/A</t>
        </is>
      </c>
      <c r="M68" s="8" t="n"/>
      <c r="N68" s="8" t="n"/>
      <c r="O68" s="13" t="inlineStr">
        <is>
          <t>Spec 6.8 (Reporting)
→ "Dashboard for approval lead time, send-back rate, count by category, and delay rankings."</t>
        </is>
      </c>
      <c r="P68" s="3" t="n"/>
      <c r="Q68" s="3" t="n"/>
      <c r="R68" s="3" t="n"/>
      <c r="S68" s="3" t="n"/>
      <c r="T68" s="3" t="n"/>
      <c r="U68" s="3" t="n"/>
      <c r="V68" s="3" t="n"/>
      <c r="W68" s="3" t="n"/>
      <c r="X68" s="3" t="n"/>
      <c r="Y68" s="3" t="n"/>
      <c r="Z68" s="3" t="n"/>
    </row>
    <row r="69" s="54">
      <c r="A69" s="13" t="inlineStr">
        <is>
          <t>TC-RPT-005</t>
        </is>
      </c>
      <c r="B69" s="13" t="inlineStr">
        <is>
          <t>Reporting</t>
        </is>
      </c>
      <c r="C69" s="13" t="inlineStr">
        <is>
          <t>Export</t>
        </is>
      </c>
      <c r="D69" s="13" t="inlineStr">
        <is>
          <t>Export audit data as CSV</t>
        </is>
      </c>
      <c r="E69" s="13" t="inlineStr">
        <is>
          <t>Audit/activity data exists in system</t>
        </is>
      </c>
      <c r="F69" s="13" t="inlineStr">
        <is>
          <t>1. Navigate to reporting or activity log page
2. Click 'Export CSV'
3. Open exported CSV file
4. Verify columns include: IP, user, operation, timestamp, details</t>
        </is>
      </c>
      <c r="G69" s="13" t="inlineStr">
        <is>
          <t>CSV exported with all required audit fields. Data matches on-screen display.</t>
        </is>
      </c>
      <c r="H69" s="9" t="inlineStr">
        <is>
          <t>P2</t>
        </is>
      </c>
      <c r="I69" s="10" t="inlineStr">
        <is>
          <t>Not Yet Implemented</t>
        </is>
      </c>
      <c r="J69" s="13" t="inlineStr">
        <is>
          <t>No CSV export. Spec requires export with IP, user, operation details.</t>
        </is>
      </c>
      <c r="K69" s="13" t="inlineStr">
        <is>
          <t>https://eb-filemg-development.vercel.app</t>
        </is>
      </c>
      <c r="L69" s="7" t="inlineStr">
        <is>
          <t>N/A</t>
        </is>
      </c>
      <c r="M69" s="8" t="n"/>
      <c r="N69" s="8" t="n"/>
      <c r="O69" s="13" t="inlineStr">
        <is>
          <t>Spec 6.8 (Reporting)
→ "CSV/Excel export (for auditing, including IP/User/Operation)."</t>
        </is>
      </c>
      <c r="P69" s="3" t="n"/>
      <c r="Q69" s="3" t="n"/>
      <c r="R69" s="3" t="n"/>
      <c r="S69" s="3" t="n"/>
      <c r="T69" s="3" t="n"/>
      <c r="U69" s="3" t="n"/>
      <c r="V69" s="3" t="n"/>
      <c r="W69" s="3" t="n"/>
      <c r="X69" s="3" t="n"/>
      <c r="Y69" s="3" t="n"/>
      <c r="Z69" s="3" t="n"/>
    </row>
    <row r="70" s="54">
      <c r="A70" s="13" t="inlineStr">
        <is>
          <t>TC-RPT-006</t>
        </is>
      </c>
      <c r="B70" s="13" t="inlineStr">
        <is>
          <t>Reporting</t>
        </is>
      </c>
      <c r="C70" s="13" t="inlineStr">
        <is>
          <t>Export</t>
        </is>
      </c>
      <c r="D70" s="13" t="inlineStr">
        <is>
          <t>Export audit data as Excel</t>
        </is>
      </c>
      <c r="E70" s="13" t="inlineStr">
        <is>
          <t>Audit data exists in system</t>
        </is>
      </c>
      <c r="F70" s="13" t="inlineStr">
        <is>
          <t>1. Navigate to reporting page
2. Click 'Export Excel'
3. Open exported Excel file
4. Verify proper formatting and all columns</t>
        </is>
      </c>
      <c r="G70" s="13" t="inlineStr">
        <is>
          <t>Excel file with proper formatting. All audit columns included. Data accurate.</t>
        </is>
      </c>
      <c r="H70" s="11" t="inlineStr">
        <is>
          <t>P3</t>
        </is>
      </c>
      <c r="I70" s="10" t="inlineStr">
        <is>
          <t>Not Yet Implemented</t>
        </is>
      </c>
      <c r="J70" s="13" t="inlineStr">
        <is>
          <t>No Excel export feature.</t>
        </is>
      </c>
      <c r="K70" s="13" t="inlineStr">
        <is>
          <t>https://eb-filemg-development.vercel.app</t>
        </is>
      </c>
      <c r="L70" s="7" t="inlineStr">
        <is>
          <t>N/A</t>
        </is>
      </c>
      <c r="M70" s="8" t="n"/>
      <c r="N70" s="8" t="n"/>
      <c r="O70" s="13" t="inlineStr">
        <is>
          <t>Spec 6.8 (Reporting)
→ "CSV/Excel export (for auditing, including IP/User/Operation)."</t>
        </is>
      </c>
      <c r="P70" s="3" t="n"/>
      <c r="Q70" s="3" t="n"/>
      <c r="R70" s="3" t="n"/>
      <c r="S70" s="3" t="n"/>
      <c r="T70" s="3" t="n"/>
      <c r="U70" s="3" t="n"/>
      <c r="V70" s="3" t="n"/>
      <c r="W70" s="3" t="n"/>
      <c r="X70" s="3" t="n"/>
      <c r="Y70" s="3" t="n"/>
      <c r="Z70" s="3" t="n"/>
    </row>
    <row r="71" s="54">
      <c r="A71" s="13" t="inlineStr">
        <is>
          <t>TC-SEC-001</t>
        </is>
      </c>
      <c r="B71" s="13" t="inlineStr">
        <is>
          <t>Permissions &amp; Security</t>
        </is>
      </c>
      <c r="C71" s="13" t="inlineStr">
        <is>
          <t>RBAC</t>
        </is>
      </c>
      <c r="D71" s="13" t="inlineStr">
        <is>
          <t>Employee can only view own ringi</t>
        </is>
      </c>
      <c r="E71" s="13" t="inlineStr">
        <is>
          <t>Employee logged in, multiple users' ringi exist</t>
        </is>
      </c>
      <c r="F71" s="13" t="inlineStr">
        <is>
          <t>1. Log in as employee
2. Navigate to dashboard
3. Verify only own ringi visible in the list
4. Attempt to access another user's ringi by direct URL</t>
        </is>
      </c>
      <c r="G71" s="13" t="inlineStr">
        <is>
          <t>Employee sees only their own submissions. Other users' ringi not accessible.</t>
        </is>
      </c>
      <c r="H71" s="5" t="inlineStr">
        <is>
          <t>P1</t>
        </is>
      </c>
      <c r="I71" s="6" t="inlineStr">
        <is>
          <t>Implemented</t>
        </is>
      </c>
      <c r="J71" s="13" t="inlineStr">
        <is>
          <t>RLS policy scopes to user_id = auth.uid().</t>
        </is>
      </c>
      <c r="K71" s="13" t="inlineStr">
        <is>
          <t>https://eb-filemg-development.vercel.app</t>
        </is>
      </c>
      <c r="L71" s="7" t="inlineStr">
        <is>
          <t>N/A</t>
        </is>
      </c>
      <c r="M71" s="8" t="n"/>
      <c r="N71" s="8" t="n"/>
      <c r="O71" s="13" t="inlineStr">
        <is>
          <t>Spec 6.7 (Permissions &amp; Security)
→ "RBAC: Initiators edit/view their own applications, approvers operate on assigned cases, admins view all and change settings."</t>
        </is>
      </c>
      <c r="P71" s="3" t="n"/>
      <c r="Q71" s="3" t="n"/>
      <c r="R71" s="3" t="n"/>
      <c r="S71" s="3" t="n"/>
      <c r="T71" s="3" t="n"/>
      <c r="U71" s="3" t="n"/>
      <c r="V71" s="3" t="n"/>
      <c r="W71" s="3" t="n"/>
      <c r="X71" s="3" t="n"/>
      <c r="Y71" s="3" t="n"/>
      <c r="Z71" s="3" t="n"/>
    </row>
    <row r="72" s="54">
      <c r="A72" s="13" t="inlineStr">
        <is>
          <t>TC-SEC-002</t>
        </is>
      </c>
      <c r="B72" s="13" t="inlineStr">
        <is>
          <t>Permissions &amp; Security</t>
        </is>
      </c>
      <c r="C72" s="13" t="inlineStr">
        <is>
          <t>RBAC</t>
        </is>
      </c>
      <c r="D72" s="13" t="inlineStr">
        <is>
          <t>Manager can view all ringi for approval</t>
        </is>
      </c>
      <c r="E72" s="13" t="inlineStr">
        <is>
          <t>Manager logged in, ringi from various users exist</t>
        </is>
      </c>
      <c r="F72" s="13" t="inlineStr">
        <is>
          <t>1. Log in as manager
2. Navigate to dashboard
3. Verify can see ringi from other users pending approval</t>
        </is>
      </c>
      <c r="G72" s="13" t="inlineStr">
        <is>
          <t>Manager sees ringi pending their approval plus their own submissions.</t>
        </is>
      </c>
      <c r="H72" s="5" t="inlineStr">
        <is>
          <t>P1</t>
        </is>
      </c>
      <c r="I72" s="12" t="inlineStr">
        <is>
          <t>Partially Implemented</t>
        </is>
      </c>
      <c r="J72" s="13" t="inlineStr">
        <is>
          <t>Manager sees all ringi (service layer), but no 'assigned to me' concept since no routing engine.</t>
        </is>
      </c>
      <c r="K72" s="13" t="inlineStr">
        <is>
          <t>https://eb-filemg-development.vercel.app</t>
        </is>
      </c>
      <c r="L72" s="7" t="inlineStr">
        <is>
          <t>N/A</t>
        </is>
      </c>
      <c r="M72" s="8" t="n"/>
      <c r="N72" s="8" t="n"/>
      <c r="O72" s="13" t="inlineStr">
        <is>
          <t>Spec 6.7 (Permissions &amp; Security)
→ "RBAC: Initiators edit/view their own applications, approvers operate on assigned cases, admins view all and change settings."</t>
        </is>
      </c>
      <c r="P72" s="3" t="n"/>
      <c r="Q72" s="3" t="n"/>
      <c r="R72" s="3" t="n"/>
      <c r="S72" s="3" t="n"/>
      <c r="T72" s="3" t="n"/>
      <c r="U72" s="3" t="n"/>
      <c r="V72" s="3" t="n"/>
      <c r="W72" s="3" t="n"/>
      <c r="X72" s="3" t="n"/>
      <c r="Y72" s="3" t="n"/>
      <c r="Z72" s="3" t="n"/>
    </row>
    <row r="73" s="54">
      <c r="A73" s="13" t="inlineStr">
        <is>
          <t>TC-SEC-003</t>
        </is>
      </c>
      <c r="B73" s="13" t="inlineStr">
        <is>
          <t>Permissions &amp; Security</t>
        </is>
      </c>
      <c r="C73" s="13" t="inlineStr">
        <is>
          <t>RBAC</t>
        </is>
      </c>
      <c r="D73" s="13" t="inlineStr">
        <is>
          <t>Superadmin has full view access</t>
        </is>
      </c>
      <c r="E73" s="13" t="inlineStr">
        <is>
          <t>Superadmin logged in, ringi from all departments exist</t>
        </is>
      </c>
      <c r="F73" s="13" t="inlineStr">
        <is>
          <t>1. Log in as superadmin
2. Navigate to dashboard
3. Verify all ringi from all users/departments visible</t>
        </is>
      </c>
      <c r="G73" s="13" t="inlineStr">
        <is>
          <t>Superadmin can see all ringi across all departments and users.</t>
        </is>
      </c>
      <c r="H73" s="5" t="inlineStr">
        <is>
          <t>P1</t>
        </is>
      </c>
      <c r="I73" s="6" t="inlineStr">
        <is>
          <t>Implemented</t>
        </is>
      </c>
      <c r="J73" s="13" t="inlineStr">
        <is>
          <t>Superadmin bypasses ownership restriction.</t>
        </is>
      </c>
      <c r="K73" s="13" t="inlineStr">
        <is>
          <t>https://eb-filemg-development.vercel.app</t>
        </is>
      </c>
      <c r="L73" s="7" t="inlineStr">
        <is>
          <t>N/A</t>
        </is>
      </c>
      <c r="M73" s="8" t="n"/>
      <c r="N73" s="8" t="n"/>
      <c r="O73" s="13" t="inlineStr">
        <is>
          <t>Spec 6.7 (Permissions &amp; Security)
→ "RBAC: Initiators edit/view their own applications, approvers operate on assigned cases, admins view all and change settings."</t>
        </is>
      </c>
      <c r="P73" s="3" t="n"/>
      <c r="Q73" s="3" t="n"/>
      <c r="R73" s="3" t="n"/>
      <c r="S73" s="3" t="n"/>
      <c r="T73" s="3" t="n"/>
      <c r="U73" s="3" t="n"/>
      <c r="V73" s="3" t="n"/>
      <c r="W73" s="3" t="n"/>
      <c r="X73" s="3" t="n"/>
      <c r="Y73" s="3" t="n"/>
      <c r="Z73" s="3" t="n"/>
    </row>
    <row r="74" hidden="1" s="54">
      <c r="A74" s="13" t="inlineStr">
        <is>
          <t>TC-SEC-004</t>
        </is>
      </c>
      <c r="B74" s="13" t="inlineStr">
        <is>
          <t>Permissions &amp; Security</t>
        </is>
      </c>
      <c r="C74" s="13" t="inlineStr">
        <is>
          <t>RBAC</t>
        </is>
      </c>
      <c r="D74" s="13" t="inlineStr">
        <is>
          <t>Accountant read-only access verified</t>
        </is>
      </c>
      <c r="E74" s="13" t="inlineStr">
        <is>
          <t>Accountant logged in, various ringi exist</t>
        </is>
      </c>
      <c r="F74" s="13" t="inlineStr">
        <is>
          <t>1. Log in as accountant
2. Navigate to ringi detail page
3. Verify no edit/approve/reject/cancel buttons
4. Verify can view details and attachments</t>
        </is>
      </c>
      <c r="G74" s="13" t="inlineStr">
        <is>
          <t>Accountant can view all details but cannot modify any ringi. No action buttons shown.</t>
        </is>
      </c>
      <c r="H74" s="5" t="inlineStr">
        <is>
          <t>P1</t>
        </is>
      </c>
      <c r="I74" s="6" t="inlineStr">
        <is>
          <t>Implemented</t>
        </is>
      </c>
      <c r="J74" s="13" t="inlineStr">
        <is>
          <t>Accountant role excluded from status updates.</t>
        </is>
      </c>
      <c r="K74" s="13" t="inlineStr">
        <is>
          <t>https://eb-filemg-development.vercel.app</t>
        </is>
      </c>
      <c r="L74" s="7" t="inlineStr">
        <is>
          <t>N/A</t>
        </is>
      </c>
      <c r="M74" s="8" t="n"/>
      <c r="N74" s="8" t="n"/>
      <c r="O74" s="13" t="inlineStr">
        <is>
          <t>Spec 6.7 (Permissions &amp; Security)
→ "RBAC: Initiators edit/view their own applications, approvers operate on assigned cases, admins view all and change settings."</t>
        </is>
      </c>
      <c r="P74" s="3" t="n"/>
      <c r="Q74" s="3" t="n"/>
      <c r="R74" s="3" t="n"/>
      <c r="S74" s="3" t="n"/>
      <c r="T74" s="3" t="n"/>
      <c r="U74" s="3" t="n"/>
      <c r="V74" s="3" t="n"/>
      <c r="W74" s="3" t="n"/>
      <c r="X74" s="3" t="n"/>
      <c r="Y74" s="3" t="n"/>
      <c r="Z74" s="3" t="n"/>
    </row>
    <row r="75" s="54">
      <c r="A75" s="13" t="inlineStr">
        <is>
          <t>TC-SEC-005</t>
        </is>
      </c>
      <c r="B75" s="13" t="inlineStr">
        <is>
          <t>Permissions &amp; Security</t>
        </is>
      </c>
      <c r="C75" s="13" t="inlineStr">
        <is>
          <t>Audit</t>
        </is>
      </c>
      <c r="D75" s="13" t="inlineStr">
        <is>
          <t>Activity log records all operations with diff</t>
        </is>
      </c>
      <c r="E75" s="13" t="inlineStr">
        <is>
          <t>User performs create, edit, and approval actions</t>
        </is>
      </c>
      <c r="F75" s="13" t="inlineStr">
        <is>
          <t>1. Create a new ringi
2. Edit the ringi (change title and amount)
3. Manager approves the ringi
4. Navigate to Activity Log page
5. Verify all 3 actions logged with old/new value diff</t>
        </is>
      </c>
      <c r="G75" s="13" t="inlineStr">
        <is>
          <t>Each operation recorded with: action type, entity info, old/new values, timestamp, user ID.</t>
        </is>
      </c>
      <c r="H75" s="5" t="inlineStr">
        <is>
          <t>P1</t>
        </is>
      </c>
      <c r="I75" s="6" t="inlineStr">
        <is>
          <t>Implemented</t>
        </is>
      </c>
      <c r="J75" s="13" t="inlineStr">
        <is>
          <t>logActivity() used throughout with old/new value diff.</t>
        </is>
      </c>
      <c r="K75" s="13" t="inlineStr">
        <is>
          <t>https://eb-filemg-development.vercel.app</t>
        </is>
      </c>
      <c r="L75" s="7" t="inlineStr">
        <is>
          <t>N/A</t>
        </is>
      </c>
      <c r="M75" s="8" t="n"/>
      <c r="N75" s="8" t="n"/>
      <c r="O75" s="13" t="inlineStr">
        <is>
          <t>Spec 6.7 (Permissions &amp; Security)
→ "Audit Logs: Save operation type, before/after differences, IP, User Agent, and timestamp to a tamper-proof area."</t>
        </is>
      </c>
      <c r="P75" s="3" t="n"/>
      <c r="Q75" s="3" t="n"/>
      <c r="R75" s="3" t="n"/>
      <c r="S75" s="3" t="n"/>
      <c r="T75" s="3" t="n"/>
      <c r="U75" s="3" t="n"/>
      <c r="V75" s="3" t="n"/>
      <c r="W75" s="3" t="n"/>
      <c r="X75" s="3" t="n"/>
      <c r="Y75" s="3" t="n"/>
      <c r="Z75" s="3" t="n"/>
    </row>
    <row r="76" hidden="1" s="54">
      <c r="A76" s="13" t="inlineStr">
        <is>
          <t>TC-SEC-006</t>
        </is>
      </c>
      <c r="B76" s="13" t="inlineStr">
        <is>
          <t>Permissions &amp; Security</t>
        </is>
      </c>
      <c r="C76" s="13" t="inlineStr">
        <is>
          <t>Audit</t>
        </is>
      </c>
      <c r="D76" s="13" t="inlineStr">
        <is>
          <t>Audit log includes IP address</t>
        </is>
      </c>
      <c r="E76" s="13" t="inlineStr">
        <is>
          <t>User performs an approval operation</t>
        </is>
      </c>
      <c r="F76" s="13" t="inlineStr">
        <is>
          <t>1. Perform any approval operation (approve/reject)
2. Check activity_logs table in database
3. Look for 'ip' column with client IP address</t>
        </is>
      </c>
      <c r="G76" s="13" t="inlineStr">
        <is>
          <t>IP address recorded in audit log entry for each operation.</t>
        </is>
      </c>
      <c r="H76" s="9" t="inlineStr">
        <is>
          <t>P2</t>
        </is>
      </c>
      <c r="I76" s="10" t="inlineStr">
        <is>
          <t>Not Yet Implemented</t>
        </is>
      </c>
      <c r="J76" s="13" t="inlineStr">
        <is>
          <t>No 'ip' column in activity_logs. Spec section 6.7 requires it.</t>
        </is>
      </c>
      <c r="K76" s="13" t="inlineStr">
        <is>
          <t>https://eb-filemg-development.vercel.app</t>
        </is>
      </c>
      <c r="L76" s="7" t="inlineStr">
        <is>
          <t>N/A</t>
        </is>
      </c>
      <c r="M76" s="8" t="n"/>
      <c r="N76" s="8" t="n"/>
      <c r="O76" s="13" t="inlineStr">
        <is>
          <t>Spec 6.7 (Permissions &amp; Security)
→ "Audit Logs: Save operation type, before/after differences, IP, User Agent, and timestamp to a tamper-proof area."</t>
        </is>
      </c>
      <c r="P76" s="3" t="n"/>
      <c r="Q76" s="3" t="n"/>
      <c r="R76" s="3" t="n"/>
      <c r="S76" s="3" t="n"/>
      <c r="T76" s="3" t="n"/>
      <c r="U76" s="3" t="n"/>
      <c r="V76" s="3" t="n"/>
      <c r="W76" s="3" t="n"/>
      <c r="X76" s="3" t="n"/>
      <c r="Y76" s="3" t="n"/>
      <c r="Z76" s="3" t="n"/>
    </row>
    <row r="77" hidden="1" s="54">
      <c r="A77" s="13" t="inlineStr">
        <is>
          <t>TC-SEC-007</t>
        </is>
      </c>
      <c r="B77" s="13" t="inlineStr">
        <is>
          <t>Permissions &amp; Security</t>
        </is>
      </c>
      <c r="C77" s="13" t="inlineStr">
        <is>
          <t>Audit</t>
        </is>
      </c>
      <c r="D77" s="13" t="inlineStr">
        <is>
          <t>Audit log includes user agent</t>
        </is>
      </c>
      <c r="E77" s="13" t="inlineStr">
        <is>
          <t>User performs an action from browser</t>
        </is>
      </c>
      <c r="F77" s="13" t="inlineStr">
        <is>
          <t>1. Perform any action from a web browser
2. Check activity_logs table
3. Look for 'user_agent' column with browser info</t>
        </is>
      </c>
      <c r="G77" s="13" t="inlineStr">
        <is>
          <t>User agent string recorded in audit log entry (e.g., 'Mozilla/5.0...').</t>
        </is>
      </c>
      <c r="H77" s="9" t="inlineStr">
        <is>
          <t>P2</t>
        </is>
      </c>
      <c r="I77" s="10" t="inlineStr">
        <is>
          <t>Not Yet Implemented</t>
        </is>
      </c>
      <c r="J77" s="13" t="inlineStr">
        <is>
          <t>No 'user_agent' column in activity_logs. Spec section 6.7 requires it.</t>
        </is>
      </c>
      <c r="K77" s="13" t="inlineStr">
        <is>
          <t>https://eb-filemg-development.vercel.app</t>
        </is>
      </c>
      <c r="L77" s="7" t="inlineStr">
        <is>
          <t>N/A</t>
        </is>
      </c>
      <c r="M77" s="8" t="n"/>
      <c r="N77" s="8" t="n"/>
      <c r="O77" s="13" t="inlineStr">
        <is>
          <t>Spec 6.7 (Permissions &amp; Security)
→ "Audit Logs: Save operation type, before/after differences, IP, User Agent, and timestamp to a tamper-proof area."</t>
        </is>
      </c>
      <c r="P77" s="3" t="n"/>
      <c r="Q77" s="3" t="n"/>
      <c r="R77" s="3" t="n"/>
      <c r="S77" s="3" t="n"/>
      <c r="T77" s="3" t="n"/>
      <c r="U77" s="3" t="n"/>
      <c r="V77" s="3" t="n"/>
      <c r="W77" s="3" t="n"/>
      <c r="X77" s="3" t="n"/>
      <c r="Y77" s="3" t="n"/>
      <c r="Z77" s="3" t="n"/>
    </row>
    <row r="78" hidden="1" s="54">
      <c r="A78" s="13" t="inlineStr">
        <is>
          <t>TC-SEC-008</t>
        </is>
      </c>
      <c r="B78" s="13" t="inlineStr">
        <is>
          <t>Permissions &amp; Security</t>
        </is>
      </c>
      <c r="C78" s="13" t="inlineStr">
        <is>
          <t>Audit</t>
        </is>
      </c>
      <c r="D78" s="13" t="inlineStr">
        <is>
          <t>Tamper-proof audit storage (append-only)</t>
        </is>
      </c>
      <c r="E78" s="13" t="inlineStr">
        <is>
          <t>Admin or system attempts to modify audit logs</t>
        </is>
      </c>
      <c r="F78" s="13" t="inlineStr">
        <is>
          <t>1. View existing audit log entries
2. Attempt to UPDATE an audit log record
3. Attempt to DELETE an audit log record
4. Verify both operations blocked</t>
        </is>
      </c>
      <c r="G78" s="13" t="inlineStr">
        <is>
          <t>Audit logs are append-only. UPDATE and DELETE operations blocked by RLS/policy.</t>
        </is>
      </c>
      <c r="H78" s="9" t="inlineStr">
        <is>
          <t>P2</t>
        </is>
      </c>
      <c r="I78" s="10" t="inlineStr">
        <is>
          <t>Not Yet Implemented</t>
        </is>
      </c>
      <c r="J78" s="13" t="inlineStr">
        <is>
          <t>No write-once constraint on activity_logs table.</t>
        </is>
      </c>
      <c r="K78" s="13" t="inlineStr">
        <is>
          <t>https://eb-filemg-development.vercel.app</t>
        </is>
      </c>
      <c r="L78" s="7" t="inlineStr">
        <is>
          <t>N/A</t>
        </is>
      </c>
      <c r="M78" s="8" t="n"/>
      <c r="N78" s="8" t="n"/>
      <c r="O78" s="13" t="inlineStr">
        <is>
          <t>Spec 6.7 (Permissions &amp; Security)
→ "Audit Logs: Save operation type, before/after differences, IP, User Agent, and timestamp to a tamper-proof area."</t>
        </is>
      </c>
      <c r="P78" s="3" t="n"/>
      <c r="Q78" s="3" t="n"/>
      <c r="R78" s="3" t="n"/>
      <c r="S78" s="3" t="n"/>
      <c r="T78" s="3" t="n"/>
      <c r="U78" s="3" t="n"/>
      <c r="V78" s="3" t="n"/>
      <c r="W78" s="3" t="n"/>
      <c r="X78" s="3" t="n"/>
      <c r="Y78" s="3" t="n"/>
      <c r="Z78" s="3" t="n"/>
    </row>
    <row r="79" s="54">
      <c r="A79" s="13" t="inlineStr">
        <is>
          <t>TC-SEC-009</t>
        </is>
      </c>
      <c r="B79" s="13" t="inlineStr">
        <is>
          <t>Permissions &amp; Security</t>
        </is>
      </c>
      <c r="C79" s="13" t="inlineStr">
        <is>
          <t>Tenant</t>
        </is>
      </c>
      <c r="D79" s="13" t="inlineStr">
        <is>
          <t>Verify tenant/workspace isolation</t>
        </is>
      </c>
      <c r="E79" s="13" t="inlineStr">
        <is>
          <t>Multiple workspaces/tenants configured in system</t>
        </is>
      </c>
      <c r="F79" s="13" t="inlineStr">
        <is>
          <t>1. Log in to workspace A
2. Verify cannot see workspace B data or ringi
3. Verify approval routes scoped to workspace
4. Verify no cross-tenant data leakage</t>
        </is>
      </c>
      <c r="G79" s="13" t="inlineStr">
        <is>
          <t>Data fully isolated between tenants. No cross-tenant data leakage in any view.</t>
        </is>
      </c>
      <c r="H79" s="5" t="inlineStr">
        <is>
          <t>P1</t>
        </is>
      </c>
      <c r="I79" s="10" t="inlineStr">
        <is>
          <t>Not Yet Implemented</t>
        </is>
      </c>
      <c r="J79" s="13" t="inlineStr">
        <is>
          <t>Tenant isolation not verified. RLS scopes to user_id but no workspace-level isolation.</t>
        </is>
      </c>
      <c r="K79" s="13" t="inlineStr">
        <is>
          <t>https://eb-filemg-development.vercel.app</t>
        </is>
      </c>
      <c r="L79" s="7" t="inlineStr">
        <is>
          <t>N/A</t>
        </is>
      </c>
      <c r="M79" s="8" t="n"/>
      <c r="N79" s="8" t="n"/>
      <c r="O79" s="13" t="inlineStr">
        <is>
          <t>Spec 6.7 (Permissions &amp; Security)
→ "Tenant isolation, Drive access with least privilege."</t>
        </is>
      </c>
      <c r="P79" s="3" t="n"/>
      <c r="Q79" s="3" t="n"/>
      <c r="R79" s="3" t="n"/>
      <c r="S79" s="3" t="n"/>
      <c r="T79" s="3" t="n"/>
      <c r="U79" s="3" t="n"/>
      <c r="V79" s="3" t="n"/>
      <c r="W79" s="3" t="n"/>
      <c r="X79" s="3" t="n"/>
      <c r="Y79" s="3" t="n"/>
      <c r="Z79" s="3" t="n"/>
    </row>
    <row r="80" s="54">
      <c r="A80" s="13" t="inlineStr">
        <is>
          <t>TC-SEC-010</t>
        </is>
      </c>
      <c r="B80" s="13" t="inlineStr">
        <is>
          <t>Permissions &amp; Security</t>
        </is>
      </c>
      <c r="C80" s="13" t="inlineStr">
        <is>
          <t>IP Restrict</t>
        </is>
      </c>
      <c r="D80" s="13" t="inlineStr">
        <is>
          <t>IP restriction option</t>
        </is>
      </c>
      <c r="E80" s="13" t="inlineStr">
        <is>
          <t>Admin configures IP restriction settings</t>
        </is>
      </c>
      <c r="F80" s="13" t="inlineStr">
        <is>
          <t>1. Navigate to security settings
2. Configure allowed IP ranges (e.g., 192.168.1.0/24)
3. Attempt access from blocked IP
4. Attempt access from allowed IP</t>
        </is>
      </c>
      <c r="G80" s="13" t="inlineStr">
        <is>
          <t>Access denied from non-whitelisted IPs. Allowed IPs can access normally. Error page shown for blocked.</t>
        </is>
      </c>
      <c r="H80" s="11" t="inlineStr">
        <is>
          <t>P3</t>
        </is>
      </c>
      <c r="I80" s="10" t="inlineStr">
        <is>
          <t>Not Yet Implemented</t>
        </is>
      </c>
      <c r="J80" s="13" t="inlineStr">
        <is>
          <t>No IP restriction feature.</t>
        </is>
      </c>
      <c r="K80" s="13" t="inlineStr">
        <is>
          <t>https://eb-filemg-development.vercel.app</t>
        </is>
      </c>
      <c r="L80" s="7" t="inlineStr">
        <is>
          <t>N/A</t>
        </is>
      </c>
      <c r="M80" s="8" t="n"/>
      <c r="N80" s="8" t="n"/>
      <c r="O80" s="13" t="inlineStr">
        <is>
          <t>Spec 6.7 (Permissions &amp; Security)
→ "IP restriction options."</t>
        </is>
      </c>
      <c r="P80" s="3" t="n"/>
      <c r="Q80" s="3" t="n"/>
      <c r="R80" s="3" t="n"/>
      <c r="S80" s="3" t="n"/>
      <c r="T80" s="3" t="n"/>
      <c r="U80" s="3" t="n"/>
      <c r="V80" s="3" t="n"/>
      <c r="W80" s="3" t="n"/>
      <c r="X80" s="3" t="n"/>
      <c r="Y80" s="3" t="n"/>
      <c r="Z80" s="3" t="n"/>
    </row>
    <row r="81" s="54">
      <c r="A81" s="13" t="inlineStr">
        <is>
          <t>TC-UIX-001</t>
        </is>
      </c>
      <c r="B81" s="13" t="inlineStr">
        <is>
          <t>UI/UX</t>
        </is>
      </c>
      <c r="C81" s="13" t="inlineStr">
        <is>
          <t>Chat Modal</t>
        </is>
      </c>
      <c r="D81" s="13" t="inlineStr">
        <is>
          <t>Open submission form from chat via modal/drawer</t>
        </is>
      </c>
      <c r="E81" s="13" t="inlineStr">
        <is>
          <t>User in chat interface (/c)</t>
        </is>
      </c>
      <c r="F81" s="13" t="inlineStr">
        <is>
          <t>1. Navigate to /c (chat page)
2. Look for 'New Submission' or ringi creation button/trigger
3. Click to open modal or drawer overlay
4. Verify form opens without navigating away from chat</t>
        </is>
      </c>
      <c r="G81" s="13" t="inlineStr">
        <is>
          <t>Submission form opens as modal or drawer overlay on chat. Does not navigate away. Form fields available.</t>
        </is>
      </c>
      <c r="H81" s="9" t="inlineStr">
        <is>
          <t>P2</t>
        </is>
      </c>
      <c r="I81" s="10" t="inlineStr">
        <is>
          <t>Not Yet Implemented</t>
        </is>
      </c>
      <c r="J81" s="13" t="inlineStr">
        <is>
          <t>No modal/drawer triggered from chat UI. Spec section 9 requires it.</t>
        </is>
      </c>
      <c r="K81" s="13" t="inlineStr">
        <is>
          <t>https://eb-filemg-development.vercel.app</t>
        </is>
      </c>
      <c r="L81" s="7" t="inlineStr">
        <is>
          <t>N/A</t>
        </is>
      </c>
      <c r="M81" s="8" t="n"/>
      <c r="N81" s="8" t="n"/>
      <c r="O81" s="13" t="inlineStr">
        <is>
          <t>Spec 9 (UI/UX)
→ "Open initiation form via modal/drawer from chat. Required field validation, progress guards."</t>
        </is>
      </c>
      <c r="P81" s="3" t="n"/>
      <c r="Q81" s="3" t="n"/>
      <c r="R81" s="3" t="n"/>
      <c r="S81" s="3" t="n"/>
      <c r="T81" s="3" t="n"/>
      <c r="U81" s="3" t="n"/>
      <c r="V81" s="3" t="n"/>
      <c r="W81" s="3" t="n"/>
      <c r="X81" s="3" t="n"/>
      <c r="Y81" s="3" t="n"/>
      <c r="Z81" s="3" t="n"/>
    </row>
    <row r="82" s="54">
      <c r="A82" s="13" t="inlineStr">
        <is>
          <t>TC-UIX-002</t>
        </is>
      </c>
      <c r="B82" s="13" t="inlineStr">
        <is>
          <t>UI/UX</t>
        </is>
      </c>
      <c r="C82" s="13" t="inlineStr">
        <is>
          <t>Approval Card</t>
        </is>
      </c>
      <c r="D82" s="13" t="inlineStr">
        <is>
          <t>Approval card displays key information</t>
        </is>
      </c>
      <c r="E82" s="13" t="inlineStr">
        <is>
          <t>Pending ringi exists in dashboard</t>
        </is>
      </c>
      <c r="F82" s="13" t="inlineStr">
        <is>
          <t>1. Navigate to dashboard
2. View approval request card
3. Verify card shows: subject/title, amount, vendor, due date
4. Verify action buttons present for approvers</t>
        </is>
      </c>
      <c r="G82" s="13" t="inlineStr">
        <is>
          <t>Card displays subject, amount, vendor, due date. Approve/Send Back buttons visible for approvers.</t>
        </is>
      </c>
      <c r="H82" s="5" t="inlineStr">
        <is>
          <t>P1</t>
        </is>
      </c>
      <c r="I82" s="12" t="inlineStr">
        <is>
          <t>Partially Implemented</t>
        </is>
      </c>
      <c r="J82" s="13" t="inlineStr">
        <is>
          <t>Card shows title, vendor, amount, category, priority. No due date display (field doesn't exist). Quick actions exist.</t>
        </is>
      </c>
      <c r="K82" s="13" t="inlineStr">
        <is>
          <t>https://eb-filemg-development.vercel.app</t>
        </is>
      </c>
      <c r="L82" s="7" t="inlineStr">
        <is>
          <t>N/A</t>
        </is>
      </c>
      <c r="M82" s="8" t="n"/>
      <c r="N82" s="8" t="n"/>
      <c r="O82" s="13" t="inlineStr">
        <is>
          <t>Spec 9 (UI/UX)
→ "Approval cards display key items (subject, amount, counterparty, deadline) and buttons. Progress bar and deadline display."</t>
        </is>
      </c>
      <c r="P82" s="3" t="n"/>
      <c r="Q82" s="3" t="n"/>
      <c r="R82" s="3" t="n"/>
      <c r="S82" s="3" t="n"/>
      <c r="T82" s="3" t="n"/>
      <c r="U82" s="3" t="n"/>
      <c r="V82" s="3" t="n"/>
      <c r="W82" s="3" t="n"/>
      <c r="X82" s="3" t="n"/>
      <c r="Y82" s="3" t="n"/>
      <c r="Z82" s="3" t="n"/>
    </row>
    <row r="83" s="54">
      <c r="A83" s="13" t="inlineStr">
        <is>
          <t>TC-UIX-003</t>
        </is>
      </c>
      <c r="B83" s="13" t="inlineStr">
        <is>
          <t>UI/UX</t>
        </is>
      </c>
      <c r="C83" s="13" t="inlineStr">
        <is>
          <t>Progress Bar</t>
        </is>
      </c>
      <c r="D83" s="13" t="inlineStr">
        <is>
          <t>Progress bar on multi-step approval</t>
        </is>
      </c>
      <c r="E83" s="13" t="inlineStr">
        <is>
          <t>Multi-step ringi in progress (e.g., at step 2 of 3)</t>
        </is>
      </c>
      <c r="F83" s="13" t="inlineStr">
        <is>
          <t>1. View ringi that's at step 2 of 3
2. Check for visual progress indicator
3. Verify due date displayed alongside progress</t>
        </is>
      </c>
      <c r="G83" s="13" t="inlineStr">
        <is>
          <t>Progress bar shows current step (e.g., '2/3 complete'). Due date visible near progress.</t>
        </is>
      </c>
      <c r="H83" s="9" t="inlineStr">
        <is>
          <t>P2</t>
        </is>
      </c>
      <c r="I83" s="10" t="inlineStr">
        <is>
          <t>Not Yet Implemented</t>
        </is>
      </c>
      <c r="J83" s="13" t="inlineStr">
        <is>
          <t>No real progress bar. Timeline is visual placeholder only.</t>
        </is>
      </c>
      <c r="K83" s="13" t="inlineStr">
        <is>
          <t>https://eb-filemg-development.vercel.app</t>
        </is>
      </c>
      <c r="L83" s="7" t="inlineStr">
        <is>
          <t>N/A</t>
        </is>
      </c>
      <c r="M83" s="8" t="n"/>
      <c r="N83" s="8" t="n"/>
      <c r="O83" s="13" t="inlineStr">
        <is>
          <t>Spec 9 (UI/UX)
→ "Approval cards display key items (subject, amount, counterparty, deadline) and buttons. Progress bar and deadline display."</t>
        </is>
      </c>
      <c r="P83" s="3" t="n"/>
      <c r="Q83" s="3" t="n"/>
      <c r="R83" s="3" t="n"/>
      <c r="S83" s="3" t="n"/>
      <c r="T83" s="3" t="n"/>
      <c r="U83" s="3" t="n"/>
      <c r="V83" s="3" t="n"/>
      <c r="W83" s="3" t="n"/>
      <c r="X83" s="3" t="n"/>
      <c r="Y83" s="3" t="n"/>
      <c r="Z83" s="3" t="n"/>
    </row>
    <row r="84" s="54">
      <c r="A84" s="13" t="inlineStr">
        <is>
          <t>TC-UIX-004</t>
        </is>
      </c>
      <c r="B84" s="13" t="inlineStr">
        <is>
          <t>UI/UX</t>
        </is>
      </c>
      <c r="C84" s="13" t="inlineStr">
        <is>
          <t>Preview</t>
        </is>
      </c>
      <c r="D84" s="13" t="inlineStr">
        <is>
          <t>Preview PDF/image attachments inline</t>
        </is>
      </c>
      <c r="E84" s="13" t="inlineStr">
        <is>
          <t>Ringi with PDF and image attachments exists</t>
        </is>
      </c>
      <c r="F84" s="13" t="inlineStr">
        <is>
          <t>1. Navigate to ringi detail page
2. Click on PDF attachment
3. Verify PDF previews inline or in overlay
4. Click on image attachment
5. Verify image previews inline</t>
        </is>
      </c>
      <c r="G84" s="13" t="inlineStr">
        <is>
          <t>In-app preview for PDF and images without downloading. Version number displayed on each attachment.</t>
        </is>
      </c>
      <c r="H84" s="9" t="inlineStr">
        <is>
          <t>P2</t>
        </is>
      </c>
      <c r="I84" s="12" t="inlineStr">
        <is>
          <t>Partially Implemented</t>
        </is>
      </c>
      <c r="J84" s="13" t="inlineStr">
        <is>
          <t>File cards with download links exist. No in-app preview. No version display.</t>
        </is>
      </c>
      <c r="K84" s="13" t="inlineStr">
        <is>
          <t>https://eb-filemg-development.vercel.app</t>
        </is>
      </c>
      <c r="L84" s="7" t="inlineStr">
        <is>
          <t>N/A</t>
        </is>
      </c>
      <c r="M84" s="8" t="n"/>
      <c r="N84" s="8" t="n"/>
      <c r="O84" s="13" t="inlineStr">
        <is>
          <t>Spec 9 (UI/UX)
→ "Attachment preview (PDF/image) and version display. Mobile-friendly approval operations."</t>
        </is>
      </c>
      <c r="P84" s="3" t="n"/>
      <c r="Q84" s="3" t="n"/>
      <c r="R84" s="3" t="n"/>
      <c r="S84" s="3" t="n"/>
      <c r="T84" s="3" t="n"/>
      <c r="U84" s="3" t="n"/>
      <c r="V84" s="3" t="n"/>
      <c r="W84" s="3" t="n"/>
      <c r="X84" s="3" t="n"/>
      <c r="Y84" s="3" t="n"/>
      <c r="Z84" s="3" t="n"/>
    </row>
    <row r="85" s="54">
      <c r="A85" s="13" t="inlineStr">
        <is>
          <t>TC-UIX-005</t>
        </is>
      </c>
      <c r="B85" s="13" t="inlineStr">
        <is>
          <t>UI/UX</t>
        </is>
      </c>
      <c r="C85" s="13" t="inlineStr">
        <is>
          <t>Mobile</t>
        </is>
      </c>
      <c r="D85" s="13" t="inlineStr">
        <is>
          <t>Approval operations work on mobile</t>
        </is>
      </c>
      <c r="E85" s="13" t="inlineStr">
        <is>
          <t>Mobile device or responsive browser view (&lt;1024px)</t>
        </is>
      </c>
      <c r="F85" s="13" t="inlineStr">
        <is>
          <t>1. Open app on mobile browser or resize to mobile width
2. Navigate to pending ringi
3. View detail page
4. Tap Approve/Reject buttons
5. Verify all actions complete on mobile</t>
        </is>
      </c>
      <c r="G85" s="13" t="inlineStr">
        <is>
          <t>All approval operations functional on mobile. Touch-friendly buttons. Responsive layout.</t>
        </is>
      </c>
      <c r="H85" s="9" t="inlineStr">
        <is>
          <t>P2</t>
        </is>
      </c>
      <c r="I85" s="12" t="inlineStr">
        <is>
          <t>Partially Implemented</t>
        </is>
      </c>
      <c r="J85" s="13" t="inlineStr">
        <is>
          <t>Responsive layout exists (mobile menu, collapsible sidebars). Not specifically tested/optimized per spec.</t>
        </is>
      </c>
      <c r="K85" s="13" t="inlineStr">
        <is>
          <t>https://eb-filemg-development.vercel.app</t>
        </is>
      </c>
      <c r="L85" s="7" t="inlineStr">
        <is>
          <t>N/A</t>
        </is>
      </c>
      <c r="M85" s="8" t="n"/>
      <c r="N85" s="8" t="n"/>
      <c r="O85" s="13" t="inlineStr">
        <is>
          <t>Spec 9 (UI/UX)
→ "Attachment preview (PDF/image) and version display. Mobile-friendly approval operations."</t>
        </is>
      </c>
      <c r="P85" s="3" t="n"/>
      <c r="Q85" s="3" t="n"/>
      <c r="R85" s="3" t="n"/>
      <c r="S85" s="3" t="n"/>
      <c r="T85" s="3" t="n"/>
      <c r="U85" s="3" t="n"/>
      <c r="V85" s="3" t="n"/>
      <c r="W85" s="3" t="n"/>
      <c r="X85" s="3" t="n"/>
      <c r="Y85" s="3" t="n"/>
      <c r="Z85" s="3" t="n"/>
    </row>
    <row r="86" s="54">
      <c r="A86" s="13" t="inlineStr">
        <is>
          <t>TC-UIX-006</t>
        </is>
      </c>
      <c r="B86" s="13" t="inlineStr">
        <is>
          <t>UI/UX</t>
        </is>
      </c>
      <c r="C86" s="13" t="inlineStr">
        <is>
          <t>Accessibility</t>
        </is>
      </c>
      <c r="D86" s="13" t="inlineStr">
        <is>
          <t>Keyboard navigation support</t>
        </is>
      </c>
      <c r="E86" s="13" t="inlineStr">
        <is>
          <t>User navigating with keyboard only (no mouse)</t>
        </is>
      </c>
      <c r="F86" s="13" t="inlineStr">
        <is>
          <t>1. Navigate to dashboard using Tab key
2. Select a ringi with Enter
3. Navigate through detail page with Tab
4. Trigger approve action with keyboard
5. Submit with Enter</t>
        </is>
      </c>
      <c r="G86" s="13" t="inlineStr">
        <is>
          <t>All interactive elements reachable via keyboard. Focus indicators visible. Logical tab order.</t>
        </is>
      </c>
      <c r="H86" s="11" t="inlineStr">
        <is>
          <t>P3</t>
        </is>
      </c>
      <c r="I86" s="12" t="inlineStr">
        <is>
          <t>Partially Implemented</t>
        </is>
      </c>
      <c r="J86" s="13" t="inlineStr">
        <is>
          <t>shadcn/ui has built-in a11y, but custom components may not be fully keyboard-navigable.</t>
        </is>
      </c>
      <c r="K86" s="13" t="inlineStr">
        <is>
          <t>https://eb-filemg-development.vercel.app</t>
        </is>
      </c>
      <c r="L86" s="7" t="inlineStr">
        <is>
          <t>N/A</t>
        </is>
      </c>
      <c r="M86" s="8" t="n"/>
      <c r="N86" s="8" t="n"/>
      <c r="O86" s="13" t="inlineStr">
        <is>
          <t>Spec 9 (UI/UX)
→ "Accessibility: Keyboard operation, color-blind friendly design, clear error messages."</t>
        </is>
      </c>
      <c r="P86" s="3" t="n"/>
      <c r="Q86" s="3" t="n"/>
      <c r="R86" s="3" t="n"/>
      <c r="S86" s="3" t="n"/>
      <c r="T86" s="3" t="n"/>
      <c r="U86" s="3" t="n"/>
      <c r="V86" s="3" t="n"/>
      <c r="W86" s="3" t="n"/>
      <c r="X86" s="3" t="n"/>
      <c r="Y86" s="3" t="n"/>
      <c r="Z86" s="3" t="n"/>
    </row>
    <row r="87" s="54">
      <c r="A87" s="13" t="inlineStr">
        <is>
          <t>TC-UIX-007</t>
        </is>
      </c>
      <c r="B87" s="13" t="inlineStr">
        <is>
          <t>UI/UX</t>
        </is>
      </c>
      <c r="C87" s="13" t="inlineStr">
        <is>
          <t>Accessibility</t>
        </is>
      </c>
      <c r="D87" s="13" t="inlineStr">
        <is>
          <t>Color-blind friendly palette</t>
        </is>
      </c>
      <c r="E87" s="13" t="inlineStr">
        <is>
          <t>User with color vision deficiency</t>
        </is>
      </c>
      <c r="F87" s="13" t="inlineStr">
        <is>
          <t>1. Review status badges, buttons, and indicators
2. Verify colors not sole differentiator (icons/text also used)
3. Check contrast ratios meet WCAG standards</t>
        </is>
      </c>
      <c r="G87" s="13" t="inlineStr">
        <is>
          <t>Status indicators use icons + text in addition to color. Sufficient contrast ratios. Accessible.</t>
        </is>
      </c>
      <c r="H87" s="11" t="inlineStr">
        <is>
          <t>P3</t>
        </is>
      </c>
      <c r="I87" s="12" t="inlineStr">
        <is>
          <t>Partially Implemented</t>
        </is>
      </c>
      <c r="J87" s="13" t="inlineStr">
        <is>
          <t>Status badges use icons (checkmark, X, clock, alert) alongside colors. Not formally WCAG tested.</t>
        </is>
      </c>
      <c r="K87" s="13" t="inlineStr">
        <is>
          <t>https://eb-filemg-development.vercel.app</t>
        </is>
      </c>
      <c r="L87" s="7" t="inlineStr">
        <is>
          <t>N/A</t>
        </is>
      </c>
      <c r="M87" s="8" t="n"/>
      <c r="N87" s="8" t="n"/>
      <c r="O87" s="13" t="inlineStr">
        <is>
          <t>Spec 9 (UI/UX)
→ "Accessibility: Keyboard operation, color-blind friendly design, clear error messages."</t>
        </is>
      </c>
      <c r="P87" s="3" t="n"/>
      <c r="Q87" s="3" t="n"/>
      <c r="R87" s="3" t="n"/>
      <c r="S87" s="3" t="n"/>
      <c r="T87" s="3" t="n"/>
      <c r="U87" s="3" t="n"/>
      <c r="V87" s="3" t="n"/>
      <c r="W87" s="3" t="n"/>
      <c r="X87" s="3" t="n"/>
      <c r="Y87" s="3" t="n"/>
      <c r="Z87" s="3" t="n"/>
    </row>
    <row r="88" s="54">
      <c r="A88" s="13" t="inlineStr">
        <is>
          <t>TC-UIX-008</t>
        </is>
      </c>
      <c r="B88" s="13" t="inlineStr">
        <is>
          <t>UI/UX</t>
        </is>
      </c>
      <c r="C88" s="13" t="inlineStr">
        <is>
          <t>i18n</t>
        </is>
      </c>
      <c r="D88" s="13" t="inlineStr">
        <is>
          <t>Verify Japanese/English language toggle</t>
        </is>
      </c>
      <c r="E88" s="13" t="inlineStr">
        <is>
          <t>User on any page of the application</t>
        </is>
      </c>
      <c r="F88" s="13" t="inlineStr">
        <is>
          <t>1. Navigate to dashboard
2. Click language toggle in navbar (EN -&gt; JA)
3. Verify ALL labels switch to Japanese
4. Toggle back (JA -&gt; EN)
5. Verify all labels switch to English
6. Check form validation messages also translated</t>
        </is>
      </c>
      <c r="G88" s="13" t="inlineStr">
        <is>
          <t>All UI text toggles correctly. No untranslated strings. Validation messages also translated.</t>
        </is>
      </c>
      <c r="H88" s="5" t="inlineStr">
        <is>
          <t>P1</t>
        </is>
      </c>
      <c r="I88" s="6" t="inlineStr">
        <is>
          <t>Implemented</t>
        </is>
      </c>
      <c r="J88" s="13" t="inlineStr">
        <is>
          <t>2100+ translation keys. LanguageProvider with t() function.</t>
        </is>
      </c>
      <c r="K88" s="13" t="inlineStr">
        <is>
          <t>https://eb-filemg-development.vercel.app</t>
        </is>
      </c>
      <c r="L88" s="7" t="inlineStr">
        <is>
          <t>N/A</t>
        </is>
      </c>
      <c r="M88" s="8" t="n"/>
      <c r="N88" s="8" t="n"/>
      <c r="O88" s="13" t="inlineStr">
        <is>
          <t>Spec 9 (UI/UX)</t>
        </is>
      </c>
      <c r="P88" s="3" t="n"/>
      <c r="Q88" s="3" t="n"/>
      <c r="R88" s="3" t="n"/>
      <c r="S88" s="3" t="n"/>
      <c r="T88" s="3" t="n"/>
      <c r="U88" s="3" t="n"/>
      <c r="V88" s="3" t="n"/>
      <c r="W88" s="3" t="n"/>
      <c r="X88" s="3" t="n"/>
      <c r="Y88" s="3" t="n"/>
      <c r="Z88" s="3" t="n"/>
    </row>
    <row r="89" s="54">
      <c r="A89" s="13" t="inlineStr">
        <is>
          <t>TC-NFR-001</t>
        </is>
      </c>
      <c r="B89" s="13" t="inlineStr">
        <is>
          <t>Non-Functional</t>
        </is>
      </c>
      <c r="C89" s="13" t="inlineStr">
        <is>
          <t>Performance</t>
        </is>
      </c>
      <c r="D89" s="13" t="inlineStr">
        <is>
          <t>Approval operation responds within 3 seconds</t>
        </is>
      </c>
      <c r="E89" s="13" t="inlineStr">
        <is>
          <t>System under normal load</t>
        </is>
      </c>
      <c r="F89" s="13" t="inlineStr">
        <is>
          <t>1. Submit an approval action (approve/reject)
2. Measure response time from click to confirmation toast
3. Repeat 5 times with different ringi
4. Calculate average response time</t>
        </is>
      </c>
      <c r="G89" s="13" t="inlineStr">
        <is>
          <t>Average response time for approval operations &lt; 3 seconds per spec section 7.</t>
        </is>
      </c>
      <c r="H89" s="9" t="inlineStr">
        <is>
          <t>P2</t>
        </is>
      </c>
      <c r="I89" s="12" t="inlineStr">
        <is>
          <t>Partially Implemented</t>
        </is>
      </c>
      <c r="J89" s="13" t="inlineStr">
        <is>
          <t>Server actions execute quickly. No formal performance benchmarking done.</t>
        </is>
      </c>
      <c r="K89" s="13" t="inlineStr">
        <is>
          <t>https://eb-filemg-development.vercel.app</t>
        </is>
      </c>
      <c r="L89" s="7" t="inlineStr">
        <is>
          <t>N/A</t>
        </is>
      </c>
      <c r="M89" s="8" t="n"/>
      <c r="N89" s="8" t="n"/>
      <c r="O89" s="13" t="inlineStr">
        <is>
          <t>Spec 10 (Non-Functional)
→ "Response within 3 seconds for approval operations, 5 seconds for searches."</t>
        </is>
      </c>
      <c r="P89" s="3" t="n"/>
      <c r="Q89" s="3" t="n"/>
      <c r="R89" s="3" t="n"/>
      <c r="S89" s="3" t="n"/>
      <c r="T89" s="3" t="n"/>
      <c r="U89" s="3" t="n"/>
      <c r="V89" s="3" t="n"/>
      <c r="W89" s="3" t="n"/>
      <c r="X89" s="3" t="n"/>
      <c r="Y89" s="3" t="n"/>
      <c r="Z89" s="3" t="n"/>
    </row>
    <row r="90" s="54">
      <c r="A90" s="13" t="inlineStr">
        <is>
          <t>TC-NFR-002</t>
        </is>
      </c>
      <c r="B90" s="13" t="inlineStr">
        <is>
          <t>Non-Functional</t>
        </is>
      </c>
      <c r="C90" s="13" t="inlineStr">
        <is>
          <t>Performance</t>
        </is>
      </c>
      <c r="D90" s="13" t="inlineStr">
        <is>
          <t>Search responds within 5 seconds</t>
        </is>
      </c>
      <c r="E90" s="13" t="inlineStr">
        <is>
          <t>Large dataset of ringi (50+ records)</t>
        </is>
      </c>
      <c r="F90" s="13" t="inlineStr">
        <is>
          <t>1. Enter search query on dashboard
2. Measure time to display filtered results
3. Test with various filter combinations
4. Verify &lt; 5 second response</t>
        </is>
      </c>
      <c r="G90" s="13" t="inlineStr">
        <is>
          <t>Search results appear within 5 seconds even with complex filters and large dataset.</t>
        </is>
      </c>
      <c r="H90" s="9" t="inlineStr">
        <is>
          <t>P2</t>
        </is>
      </c>
      <c r="I90" s="12" t="inlineStr">
        <is>
          <t>Partially Implemented</t>
        </is>
      </c>
      <c r="J90" s="13" t="inlineStr">
        <is>
          <t>Search is client-side filtering. Performance depends on dataset size.</t>
        </is>
      </c>
      <c r="K90" s="13" t="inlineStr">
        <is>
          <t>https://eb-filemg-development.vercel.app</t>
        </is>
      </c>
      <c r="L90" s="7" t="inlineStr">
        <is>
          <t>N/A</t>
        </is>
      </c>
      <c r="M90" s="8" t="n"/>
      <c r="N90" s="8" t="n"/>
      <c r="O90" s="13" t="inlineStr">
        <is>
          <t>Spec 10 (Non-Functional)
→ "Response within 3 seconds for approval operations, 5 seconds for searches."</t>
        </is>
      </c>
      <c r="P90" s="3" t="n"/>
      <c r="Q90" s="3" t="n"/>
      <c r="R90" s="3" t="n"/>
      <c r="S90" s="3" t="n"/>
      <c r="T90" s="3" t="n"/>
      <c r="U90" s="3" t="n"/>
      <c r="V90" s="3" t="n"/>
      <c r="W90" s="3" t="n"/>
      <c r="X90" s="3" t="n"/>
      <c r="Y90" s="3" t="n"/>
      <c r="Z90" s="3" t="n"/>
    </row>
    <row r="91" hidden="1" s="54">
      <c r="A91" s="13" t="inlineStr">
        <is>
          <t>TC-NFR-003</t>
        </is>
      </c>
      <c r="B91" s="13" t="inlineStr">
        <is>
          <t>Non-Functional</t>
        </is>
      </c>
      <c r="C91" s="13" t="inlineStr">
        <is>
          <t>Security</t>
        </is>
      </c>
      <c r="D91" s="13" t="inlineStr">
        <is>
          <t>TLS 1.2+ enforced</t>
        </is>
      </c>
      <c r="E91" s="13" t="inlineStr">
        <is>
          <t>Access the application URL</t>
        </is>
      </c>
      <c r="F91" s="13" t="inlineStr">
        <is>
          <t>1. Access https://eb-filemg-development.vercel.app
2. Check TLS version in browser dev tools (Security tab)
3. Verify certificate is valid
4. Check for mixed content warnings</t>
        </is>
      </c>
      <c r="G91" s="13" t="inlineStr">
        <is>
          <t>TLS 1.2 or higher enforced. Valid SSL certificate. No mixed content warnings.</t>
        </is>
      </c>
      <c r="H91" s="5" t="inlineStr">
        <is>
          <t>P1</t>
        </is>
      </c>
      <c r="I91" s="6" t="inlineStr">
        <is>
          <t>Implemented</t>
        </is>
      </c>
      <c r="J91" s="13" t="inlineStr">
        <is>
          <t>Vercel enforces TLS 1.2+ by default.</t>
        </is>
      </c>
      <c r="K91" s="13" t="inlineStr">
        <is>
          <t>https://eb-filemg-development.vercel.app</t>
        </is>
      </c>
      <c r="L91" s="7" t="inlineStr">
        <is>
          <t>N/A</t>
        </is>
      </c>
      <c r="M91" s="8" t="n"/>
      <c r="N91" s="8" t="n"/>
      <c r="O91" s="13" t="inlineStr">
        <is>
          <t>Spec 10 (Non-Functional)
→ "TLS 1.2+, SSO, view control based on sensitivity tags, attachment hash storage."</t>
        </is>
      </c>
      <c r="P91" s="3" t="n"/>
      <c r="Q91" s="3" t="n"/>
      <c r="R91" s="3" t="n"/>
      <c r="S91" s="3" t="n"/>
      <c r="T91" s="3" t="n"/>
      <c r="U91" s="3" t="n"/>
      <c r="V91" s="3" t="n"/>
      <c r="W91" s="3" t="n"/>
      <c r="X91" s="3" t="n"/>
      <c r="Y91" s="3" t="n"/>
      <c r="Z91" s="3" t="n"/>
    </row>
    <row r="92" s="54">
      <c r="A92" s="13" t="inlineStr">
        <is>
          <t>TC-NFR-004</t>
        </is>
      </c>
      <c r="B92" s="13" t="inlineStr">
        <is>
          <t>Non-Functional</t>
        </is>
      </c>
      <c r="C92" s="13" t="inlineStr">
        <is>
          <t>Reliability</t>
        </is>
      </c>
      <c r="D92" s="13" t="inlineStr">
        <is>
          <t>Idempotency prevents duplicate submissions</t>
        </is>
      </c>
      <c r="E92" s="13" t="inlineStr">
        <is>
          <t>User on submission form</t>
        </is>
      </c>
      <c r="F92" s="13" t="inlineStr">
        <is>
          <t>1. Fill out ringi form completely
2. Rapidly click Submit button twice
3. Check if duplicate ringi was created</t>
        </is>
      </c>
      <c r="G92" s="13" t="inlineStr">
        <is>
          <t>Only one ringi created. Second click either blocked (button disabled) or deduplicated via idempotency key.</t>
        </is>
      </c>
      <c r="H92" s="9" t="inlineStr">
        <is>
          <t>P2</t>
        </is>
      </c>
      <c r="I92" s="10" t="inlineStr">
        <is>
          <t>Not Yet Implemented</t>
        </is>
      </c>
      <c r="J92" s="13" t="inlineStr">
        <is>
          <t>No idempotency key mechanism. Spec section 7 requires it.</t>
        </is>
      </c>
      <c r="K92" s="13" t="inlineStr">
        <is>
          <t>https://eb-filemg-development.vercel.app</t>
        </is>
      </c>
      <c r="L92" s="7" t="inlineStr">
        <is>
          <t>N/A</t>
        </is>
      </c>
      <c r="M92" s="8" t="n"/>
      <c r="N92" s="8" t="n"/>
      <c r="O92" s="13" t="inlineStr">
        <is>
          <t>Spec 10 (Non-Functional)
→ "Idempotent keys for deduplication."</t>
        </is>
      </c>
      <c r="P92" s="3" t="n"/>
      <c r="Q92" s="3" t="n"/>
      <c r="R92" s="3" t="n"/>
      <c r="S92" s="3" t="n"/>
      <c r="T92" s="3" t="n"/>
      <c r="U92" s="3" t="n"/>
      <c r="V92" s="3" t="n"/>
      <c r="W92" s="3" t="n"/>
      <c r="X92" s="3" t="n"/>
      <c r="Y92" s="3" t="n"/>
      <c r="Z92" s="3" t="n"/>
    </row>
    <row r="93" s="54">
      <c r="A93" s="13" t="inlineStr">
        <is>
          <t>TC-NFR-005</t>
        </is>
      </c>
      <c r="B93" s="13" t="inlineStr">
        <is>
          <t>Non-Functional</t>
        </is>
      </c>
      <c r="C93" s="13" t="inlineStr">
        <is>
          <t>Reliability</t>
        </is>
      </c>
      <c r="D93" s="13" t="inlineStr">
        <is>
          <t>Queue persistence on failure with retry</t>
        </is>
      </c>
      <c r="E93" s="13" t="inlineStr">
        <is>
          <t>Backend experiences transient failure during submission</t>
        </is>
      </c>
      <c r="F93" s="13" t="inlineStr">
        <is>
          <t>1. Submit ringi during simulated backend issue
2. Verify operation is queued
3. After backend recovery, verify operation completes with backoff retry</t>
        </is>
      </c>
      <c r="G93" s="13" t="inlineStr">
        <is>
          <t>Operations queued and retried with backoff strategy. No data loss on transient failures.</t>
        </is>
      </c>
      <c r="H93" s="9" t="inlineStr">
        <is>
          <t>P2</t>
        </is>
      </c>
      <c r="I93" s="10" t="inlineStr">
        <is>
          <t>Not Yet Implemented</t>
        </is>
      </c>
      <c r="J93" s="13" t="inlineStr">
        <is>
          <t>No queue/job system. No retry mechanism. Spec section 7 requires queue persistence.</t>
        </is>
      </c>
      <c r="K93" s="13" t="inlineStr">
        <is>
          <t>https://eb-filemg-development.vercel.app</t>
        </is>
      </c>
      <c r="L93" s="7" t="inlineStr">
        <is>
          <t>N/A</t>
        </is>
      </c>
      <c r="M93" s="8" t="n"/>
      <c r="N93" s="8" t="n"/>
      <c r="O93" s="13" t="inlineStr">
        <is>
          <t>Spec 10 (Non-Functional)
→ "Queue retention and backoff retry for failures."</t>
        </is>
      </c>
      <c r="P93" s="3" t="n"/>
      <c r="Q93" s="3" t="n"/>
      <c r="R93" s="3" t="n"/>
      <c r="S93" s="3" t="n"/>
      <c r="T93" s="3" t="n"/>
      <c r="U93" s="3" t="n"/>
      <c r="V93" s="3" t="n"/>
      <c r="W93" s="3" t="n"/>
      <c r="X93" s="3" t="n"/>
      <c r="Y93" s="3" t="n"/>
      <c r="Z93" s="3" t="n"/>
    </row>
    <row r="94" hidden="1" s="54">
      <c r="A94" s="13" t="inlineStr">
        <is>
          <t>TC-NFR-006</t>
        </is>
      </c>
      <c r="B94" s="13" t="inlineStr">
        <is>
          <t>Non-Functional</t>
        </is>
      </c>
      <c r="C94" s="13" t="inlineStr">
        <is>
          <t>Retention</t>
        </is>
      </c>
      <c r="D94" s="13" t="inlineStr">
        <is>
          <t>7-year data retention policy</t>
        </is>
      </c>
      <c r="E94" s="13" t="inlineStr">
        <is>
          <t>Old ringi data (&gt;1 year) exists in system</t>
        </is>
      </c>
      <c r="F94" s="13" t="inlineStr">
        <is>
          <t>1. Check data retention policy configuration
2. Verify old records are retained (not auto-deleted)
3. Verify export API can access old data
4. Check retention period is configurable</t>
        </is>
      </c>
      <c r="G94" s="13" t="inlineStr">
        <is>
          <t>Data retained for 7 years minimum (default). Configurable retention period. Export API works for old records.</t>
        </is>
      </c>
      <c r="H94" s="11" t="inlineStr">
        <is>
          <t>P3</t>
        </is>
      </c>
      <c r="I94" s="10" t="inlineStr">
        <is>
          <t>Not Yet Implemented</t>
        </is>
      </c>
      <c r="J94" s="13" t="inlineStr">
        <is>
          <t>No retention policy or archival mechanism. Spec section 7 requires 7-year default.</t>
        </is>
      </c>
      <c r="K94" s="13" t="inlineStr">
        <is>
          <t>https://eb-filemg-development.vercel.app</t>
        </is>
      </c>
      <c r="L94" s="7" t="inlineStr">
        <is>
          <t>N/A</t>
        </is>
      </c>
      <c r="M94" s="8" t="n"/>
      <c r="N94" s="8" t="n"/>
      <c r="O94" s="13" t="inlineStr">
        <is>
          <t>Spec 10 (Non-Functional)
→ "Ringi data, attachments, and audit logs are retained for 7 years (configurable)."</t>
        </is>
      </c>
      <c r="P94" s="3" t="n"/>
      <c r="Q94" s="3" t="n"/>
      <c r="R94" s="3" t="n"/>
      <c r="S94" s="3" t="n"/>
      <c r="T94" s="3" t="n"/>
      <c r="U94" s="3" t="n"/>
      <c r="V94" s="3" t="n"/>
      <c r="W94" s="3" t="n"/>
      <c r="X94" s="3" t="n"/>
      <c r="Y94" s="3" t="n"/>
      <c r="Z94" s="3" t="n"/>
    </row>
    <row r="95" s="54">
      <c r="A95" s="13" t="inlineStr">
        <is>
          <t>TC-ADM-001</t>
        </is>
      </c>
      <c r="B95" s="13" t="inlineStr">
        <is>
          <t>Admin &amp; Operations</t>
        </is>
      </c>
      <c r="C95" s="13" t="inlineStr">
        <is>
          <t>Route Admin</t>
        </is>
      </c>
      <c r="D95" s="13" t="inlineStr">
        <is>
          <t>Admin UI for approval route management</t>
        </is>
      </c>
      <c r="E95" s="13" t="inlineStr">
        <is>
          <t>Superadmin logged in</t>
        </is>
      </c>
      <c r="F95" s="13" t="inlineStr">
        <is>
          <t>1. Navigate to /superadmin
2. Look for 'Approval Routes' management section
3. Create a new approval route
4. Edit an existing route
5. Delete a route
6. Verify changes apply to new submissions</t>
        </is>
      </c>
      <c r="G95" s="13" t="inlineStr">
        <is>
          <t>Full CRUD for approval routes in admin UI. Changes apply to new submissions immediately.</t>
        </is>
      </c>
      <c r="H95" s="5" t="inlineStr">
        <is>
          <t>P1</t>
        </is>
      </c>
      <c r="I95" s="10" t="inlineStr">
        <is>
          <t>Not Yet Implemented</t>
        </is>
      </c>
      <c r="J95" s="13" t="inlineStr">
        <is>
          <t>No approval routes admin UI. SuperAdmin only has user management and placeholder settings.</t>
        </is>
      </c>
      <c r="K95" s="13" t="inlineStr">
        <is>
          <t>https://eb-filemg-development.vercel.app</t>
        </is>
      </c>
      <c r="L95" s="7" t="inlineStr">
        <is>
          <t>N/A</t>
        </is>
      </c>
      <c r="M95" s="8" t="n"/>
      <c r="N95" s="8" t="n"/>
      <c r="O95" s="13" t="inlineStr">
        <is>
          <t>Spec 6.7 (Permissions), Spec 6.2 (Routes)
→ "Edit/CSV import approval routes in the admin screen. Verify routes with test transmissions."</t>
        </is>
      </c>
      <c r="P95" s="3" t="n"/>
      <c r="Q95" s="3" t="n"/>
      <c r="R95" s="3" t="n"/>
      <c r="S95" s="3" t="n"/>
      <c r="T95" s="3" t="n"/>
      <c r="U95" s="3" t="n"/>
      <c r="V95" s="3" t="n"/>
      <c r="W95" s="3" t="n"/>
      <c r="X95" s="3" t="n"/>
      <c r="Y95" s="3" t="n"/>
      <c r="Z95" s="3" t="n"/>
    </row>
    <row r="96" s="54">
      <c r="A96" s="13" t="inlineStr">
        <is>
          <t>TC-ADM-002</t>
        </is>
      </c>
      <c r="B96" s="13" t="inlineStr">
        <is>
          <t>Admin &amp; Operations</t>
        </is>
      </c>
      <c r="C96" s="13" t="inlineStr">
        <is>
          <t>Notifications</t>
        </is>
      </c>
      <c r="D96" s="13" t="inlineStr">
        <is>
          <t>Admin manages notification channel settings</t>
        </is>
      </c>
      <c r="E96" s="13" t="inlineStr">
        <is>
          <t>Admin logged in</t>
        </is>
      </c>
      <c r="F96" s="13" t="inlineStr">
        <is>
          <t>1. Navigate to notification settings in admin panel
2. Configure email provider (SMTP/SES/SendGrid)
3. Configure Slack webhook/API
4. Set default notification frequency
5. Send test notification
6. Save settings</t>
        </is>
      </c>
      <c r="G96" s="13" t="inlineStr">
        <is>
          <t>Notification channels configurable. Test notification sent and received. Settings persisted.</t>
        </is>
      </c>
      <c r="H96" s="9" t="inlineStr">
        <is>
          <t>P2</t>
        </is>
      </c>
      <c r="I96" s="10" t="inlineStr">
        <is>
          <t>Not Yet Implemented</t>
        </is>
      </c>
      <c r="J96" s="13" t="inlineStr">
        <is>
          <t>No notification settings management in admin.</t>
        </is>
      </c>
      <c r="K96" s="13" t="inlineStr">
        <is>
          <t>https://eb-filemg-development.vercel.app</t>
        </is>
      </c>
      <c r="L96" s="7" t="inlineStr">
        <is>
          <t>N/A</t>
        </is>
      </c>
      <c r="M96" s="8" t="n"/>
      <c r="N96" s="8" t="n"/>
      <c r="O96" s="13" t="inlineStr">
        <is>
          <t>Spec 6.7 (Permissions), Spec 6.2 (Routes)
→ "Manage notification settings (channels/frequency)."</t>
        </is>
      </c>
      <c r="P96" s="3" t="n"/>
      <c r="Q96" s="3" t="n"/>
      <c r="R96" s="3" t="n"/>
      <c r="S96" s="3" t="n"/>
      <c r="T96" s="3" t="n"/>
      <c r="U96" s="3" t="n"/>
      <c r="V96" s="3" t="n"/>
      <c r="W96" s="3" t="n"/>
      <c r="X96" s="3" t="n"/>
      <c r="Y96" s="3" t="n"/>
      <c r="Z96" s="3" t="n"/>
    </row>
    <row r="97" s="54">
      <c r="A97" s="13" t="inlineStr">
        <is>
          <t>TC-ADM-003</t>
        </is>
      </c>
      <c r="B97" s="13" t="inlineStr">
        <is>
          <t>Admin &amp; Operations</t>
        </is>
      </c>
      <c r="C97" s="13" t="inlineStr">
        <is>
          <t>Maintenance</t>
        </is>
      </c>
      <c r="D97" s="13" t="inlineStr">
        <is>
          <t>Maintenance mode suspends submissions</t>
        </is>
      </c>
      <c r="E97" s="13" t="inlineStr">
        <is>
          <t>Admin activates maintenance mode</t>
        </is>
      </c>
      <c r="F97" s="13" t="inlineStr">
        <is>
          <t>1. Admin enables maintenance mode from admin panel
2. User attempts to submit a new ringi
3. Verify submission is blocked with maintenance notice
4. Verify existing ringi are viewable (read-only)
5. Admin disables maintenance mode
6. Verify submissions resume</t>
        </is>
      </c>
      <c r="G97" s="13" t="inlineStr">
        <is>
          <t>Submissions blocked during maintenance. Clear notice displayed. Existing data viewable. Resume works.</t>
        </is>
      </c>
      <c r="H97" s="11" t="inlineStr">
        <is>
          <t>P3</t>
        </is>
      </c>
      <c r="I97" s="10" t="inlineStr">
        <is>
          <t>Not Yet Implemented</t>
        </is>
      </c>
      <c r="J97" s="13" t="inlineStr">
        <is>
          <t>No maintenance mode feature.</t>
        </is>
      </c>
      <c r="K97" s="13" t="inlineStr">
        <is>
          <t>https://eb-filemg-development.vercel.app</t>
        </is>
      </c>
      <c r="L97" s="7" t="inlineStr">
        <is>
          <t>N/A</t>
        </is>
      </c>
      <c r="M97" s="8" t="n"/>
      <c r="N97" s="8" t="n"/>
      <c r="O97" s="13" t="inlineStr">
        <is>
          <t>Spec 6.7 (Permissions), Spec 6.2 (Routes)
→ "Maintenance mode for suspending applications with notice."</t>
        </is>
      </c>
      <c r="P97" s="3" t="n"/>
      <c r="Q97" s="3" t="n"/>
      <c r="R97" s="3" t="n"/>
      <c r="S97" s="3" t="n"/>
      <c r="T97" s="3" t="n"/>
      <c r="U97" s="3" t="n"/>
      <c r="V97" s="3" t="n"/>
      <c r="W97" s="3" t="n"/>
      <c r="X97" s="3" t="n"/>
      <c r="Y97" s="3" t="n"/>
      <c r="Z97" s="3" t="n"/>
    </row>
    <row r="98" s="54">
      <c r="A98" s="13" t="inlineStr">
        <is>
          <t>TC-ADM-004</t>
        </is>
      </c>
      <c r="B98" s="13" t="inlineStr">
        <is>
          <t>Admin &amp; Operations</t>
        </is>
      </c>
      <c r="C98" s="13" t="inlineStr">
        <is>
          <t>Reports</t>
        </is>
      </c>
      <c r="D98" s="13" t="inlineStr">
        <is>
          <t>Automated periodic report generation</t>
        </is>
      </c>
      <c r="E98" s="13" t="inlineStr">
        <is>
          <t>Report schedule configured (e.g., weekly)</t>
        </is>
      </c>
      <c r="F98" s="13" t="inlineStr">
        <is>
          <t>1. Configure weekly report schedule in admin
2. Wait for scheduled report trigger
3. Verify report generated with: lead time, send-back rate, category stats
4. Verify report delivered to accounting/internal controls via email</t>
        </is>
      </c>
      <c r="G98" s="13" t="inlineStr">
        <is>
          <t>Reports generated automatically on schedule. Delivered to configured recipients. Contains required metrics.</t>
        </is>
      </c>
      <c r="H98" s="11" t="inlineStr">
        <is>
          <t>P3</t>
        </is>
      </c>
      <c r="I98" s="10" t="inlineStr">
        <is>
          <t>Not Yet Implemented</t>
        </is>
      </c>
      <c r="J98" s="13" t="inlineStr">
        <is>
          <t>No automated report generation.</t>
        </is>
      </c>
      <c r="K98" s="13" t="inlineStr">
        <is>
          <t>https://eb-filemg-development.vercel.app</t>
        </is>
      </c>
      <c r="L98" s="7" t="inlineStr">
        <is>
          <t>N/A</t>
        </is>
      </c>
      <c r="M98" s="8" t="n"/>
      <c r="N98" s="8" t="n"/>
      <c r="O98" s="13" t="inlineStr">
        <is>
          <t>Spec 6.7 (Permissions), Spec 6.2 (Routes)
→ "Automatic generation/delivery of periodic reports (accounting/internal control)."</t>
        </is>
      </c>
      <c r="P98" s="3" t="n"/>
      <c r="Q98" s="3" t="n"/>
      <c r="R98" s="3" t="n"/>
      <c r="S98" s="3" t="n"/>
      <c r="T98" s="3" t="n"/>
      <c r="U98" s="3" t="n"/>
      <c r="V98" s="3" t="n"/>
      <c r="W98" s="3" t="n"/>
      <c r="X98" s="3" t="n"/>
      <c r="Y98" s="3" t="n"/>
      <c r="Z98" s="3" t="n"/>
    </row>
    <row r="99" s="54">
      <c r="A99" s="13" t="inlineStr">
        <is>
          <t>TC-ADM-005</t>
        </is>
      </c>
      <c r="B99" s="13" t="inlineStr">
        <is>
          <t>Admin &amp; Operations</t>
        </is>
      </c>
      <c r="C99" s="13" t="inlineStr">
        <is>
          <t>Backup</t>
        </is>
      </c>
      <c r="D99" s="13" t="inlineStr">
        <is>
          <t>Verify daily backup and recovery targets</t>
        </is>
      </c>
      <c r="E99" s="13" t="inlineStr">
        <is>
          <t>System operational with data</t>
        </is>
      </c>
      <c r="F99" s="13" t="inlineStr">
        <is>
          <t>1. Check backup configuration
2. Verify last backup timestamp
3. Verify RPO &lt;= 24 hours
4. Verify RTO &lt;= 4 hours target documented</t>
        </is>
      </c>
      <c r="G99" s="13" t="inlineStr">
        <is>
          <t>Daily backups running. RPO within 24 hours. RTO target of 4 hours documented.</t>
        </is>
      </c>
      <c r="H99" s="11" t="inlineStr">
        <is>
          <t>P3</t>
        </is>
      </c>
      <c r="I99" s="10" t="inlineStr">
        <is>
          <t>Not Yet Implemented</t>
        </is>
      </c>
      <c r="J99" s="13" t="inlineStr">
        <is>
          <t>No explicit backup verification. Supabase provides some backup, but RPO/RTO targets not configured.</t>
        </is>
      </c>
      <c r="K99" s="13" t="inlineStr">
        <is>
          <t>https://eb-filemg-development.vercel.app</t>
        </is>
      </c>
      <c r="L99" s="7" t="inlineStr">
        <is>
          <t>N/A</t>
        </is>
      </c>
      <c r="M99" s="8" t="n"/>
      <c r="N99" s="8" t="n"/>
      <c r="O99" s="13" t="inlineStr">
        <is>
          <t>Spec 6.7 (Permissions), Spec 6.2 (Routes)
→ "Daily backups. Targets: RPO &lt;= 24h, RTO &lt;= 4h."</t>
        </is>
      </c>
      <c r="P99" s="3" t="n"/>
      <c r="Q99" s="3" t="n"/>
      <c r="R99" s="3" t="n"/>
      <c r="S99" s="3" t="n"/>
      <c r="T99" s="3" t="n"/>
      <c r="U99" s="3" t="n"/>
      <c r="V99" s="3" t="n"/>
      <c r="W99" s="3" t="n"/>
      <c r="X99" s="3" t="n"/>
      <c r="Y99" s="3" t="n"/>
      <c r="Z99" s="3" t="n"/>
    </row>
    <row r="100" s="54">
      <c r="A100" s="13" t="inlineStr">
        <is>
          <t>TC-ADM-006</t>
        </is>
      </c>
      <c r="B100" s="13" t="inlineStr">
        <is>
          <t>Admin &amp; Operations</t>
        </is>
      </c>
      <c r="C100" s="13" t="inlineStr">
        <is>
          <t>User Mgmt</t>
        </is>
      </c>
      <c r="D100" s="13" t="inlineStr">
        <is>
          <t>Admin manages users (approve/reject/edit roles)</t>
        </is>
      </c>
      <c r="E100" s="13" t="inlineStr">
        <is>
          <t>Superadmin logged in, pending and active users exist</t>
        </is>
      </c>
      <c r="F100" s="13" t="inlineStr">
        <is>
          <t>1. Navigate to /superadmin/users
2. View pending users list
3. Approve a pending user
4. Reject another pending user
5. Change an active user's role
6. Deactivate a user
7. Verify activity logs record all changes</t>
        </is>
      </c>
      <c r="G100" s="13" t="inlineStr">
        <is>
          <t>All user management operations work. Pending users approved/rejected. Roles changed. Activity logged.</t>
        </is>
      </c>
      <c r="H100" s="5" t="inlineStr">
        <is>
          <t>P1</t>
        </is>
      </c>
      <c r="I100" s="6" t="inlineStr">
        <is>
          <t>Implemented</t>
        </is>
      </c>
      <c r="J100" s="13" t="inlineStr">
        <is>
          <t>Full user management in superadmin panel with invite, approve, reject, edit, delete.</t>
        </is>
      </c>
      <c r="K100" s="13" t="inlineStr">
        <is>
          <t>https://eb-filemg-development.vercel.app</t>
        </is>
      </c>
      <c r="L100" s="7" t="inlineStr">
        <is>
          <t>N/A</t>
        </is>
      </c>
      <c r="M100" s="8" t="n"/>
      <c r="N100" s="8" t="n"/>
      <c r="O100" s="13" t="inlineStr">
        <is>
          <t>Spec 6.7 (Permissions), Spec 6.2 (Routes)
→ "RBAC: Initiators edit/view their own applications, approvers operate on assigned cases, admins view all and change settings."</t>
        </is>
      </c>
      <c r="P100" s="3" t="n"/>
      <c r="Q100" s="3" t="n"/>
      <c r="R100" s="3" t="n"/>
      <c r="S100" s="3" t="n"/>
      <c r="T100" s="3" t="n"/>
      <c r="U100" s="3" t="n"/>
      <c r="V100" s="3" t="n"/>
      <c r="W100" s="3" t="n"/>
      <c r="X100" s="3" t="n"/>
      <c r="Y100" s="3" t="n"/>
      <c r="Z100" s="3" t="n"/>
    </row>
    <row r="101" s="54">
      <c r="A101" s="13" t="inlineStr">
        <is>
          <t>TC-DAT-001</t>
        </is>
      </c>
      <c r="B101" s="13" t="inlineStr">
        <is>
          <t>Data Model</t>
        </is>
      </c>
      <c r="C101" s="13" t="inlineStr">
        <is>
          <t>Fields</t>
        </is>
      </c>
      <c r="D101" s="13" t="inlineStr">
        <is>
          <t>Verify all spec data fields present in schema</t>
        </is>
      </c>
      <c r="E101" s="13" t="inlineStr">
        <is>
          <t>Database access available</t>
        </is>
      </c>
      <c r="F101" s="13" t="inlineStr">
        <is>
          <t>1. Review approval_requests table schema
2. Check for ALL fields from spec section 8:
   - id, title, category, amount_tax_excl, tax, amount_tax_incl
   - currency, vendor, purpose, start_date, end_date
   - payment_terms, budget_code, project_code
   - requester_id, department, desired_approval_date</t>
        </is>
      </c>
      <c r="G101" s="13" t="inlineStr">
        <is>
          <t>All spec section 8 fields present in the database schema.</t>
        </is>
      </c>
      <c r="H101" s="9" t="inlineStr">
        <is>
          <t>P2</t>
        </is>
      </c>
      <c r="I101" s="12" t="inlineStr">
        <is>
          <t>Partially Implemented</t>
        </is>
      </c>
      <c r="J101" s="13" t="inlineStr">
        <is>
          <t>Missing: currency, budget_code, project_code, start_date/end_date (has single 'date'), desired_approval_date. Has extra: priority, description, remarks.</t>
        </is>
      </c>
      <c r="K101" s="13" t="inlineStr">
        <is>
          <t>https://eb-filemg-development.vercel.app</t>
        </is>
      </c>
      <c r="L101" s="7" t="inlineStr">
        <is>
          <t>N/A</t>
        </is>
      </c>
      <c r="M101" s="8" t="n"/>
      <c r="N101" s="8" t="n"/>
      <c r="O101" s="13" t="inlineStr">
        <is>
          <t>Spec 7 (Data Model)
→ "Ringi: id, title, category, amount_tax_excl, tax, amount_tax_incl, currency, vendor, purpose, start_date, end_date, payment_terms, budget_code, project_code..."</t>
        </is>
      </c>
      <c r="P101" s="3" t="n"/>
      <c r="Q101" s="3" t="n"/>
      <c r="R101" s="3" t="n"/>
      <c r="S101" s="3" t="n"/>
      <c r="T101" s="3" t="n"/>
      <c r="U101" s="3" t="n"/>
      <c r="V101" s="3" t="n"/>
      <c r="W101" s="3" t="n"/>
      <c r="X101" s="3" t="n"/>
      <c r="Y101" s="3" t="n"/>
      <c r="Z101" s="3" t="n"/>
    </row>
    <row r="102" s="54">
      <c r="A102" s="13" t="inlineStr">
        <is>
          <t>TC-DAT-002</t>
        </is>
      </c>
      <c r="B102" s="13" t="inlineStr">
        <is>
          <t>Data Model</t>
        </is>
      </c>
      <c r="C102" s="13" t="inlineStr">
        <is>
          <t>State</t>
        </is>
      </c>
      <c r="D102" s="13" t="inlineStr">
        <is>
          <t>Verify state tracking fields in schema</t>
        </is>
      </c>
      <c r="E102" s="13" t="inlineStr">
        <is>
          <t>Database access available</t>
        </is>
      </c>
      <c r="F102" s="13" t="inlineStr">
        <is>
          <t>1. Review state-related columns on approval_requests
2. Check for: status, step_order, current_approver_ids, next_approver_ids, due_at, escalated_to, rejection_reason, sendback_reason</t>
        </is>
      </c>
      <c r="G102" s="13" t="inlineStr">
        <is>
          <t>All state tracking fields present per spec section 8.</t>
        </is>
      </c>
      <c r="H102" s="9" t="inlineStr">
        <is>
          <t>P2</t>
        </is>
      </c>
      <c r="I102" s="12" t="inlineStr">
        <is>
          <t>Partially Implemented</t>
        </is>
      </c>
      <c r="J102" s="13" t="inlineStr">
        <is>
          <t>Only 'status' exists. Missing: step_order, current_approver_ids, next_approver_ids, due_at, escalated_to. Uses shared approval_notes for reasons.</t>
        </is>
      </c>
      <c r="K102" s="13" t="inlineStr">
        <is>
          <t>https://eb-filemg-development.vercel.app</t>
        </is>
      </c>
      <c r="L102" s="7" t="inlineStr">
        <is>
          <t>N/A</t>
        </is>
      </c>
      <c r="M102" s="8" t="n"/>
      <c r="N102" s="8" t="n"/>
      <c r="O102" s="13" t="inlineStr">
        <is>
          <t>Spec 7 (Data Model)
→ "State: status, step_order, current_approver_ids, next_approver_ids, due_at, escalated_to, rejection_reason, sendback_reason"</t>
        </is>
      </c>
      <c r="P102" s="3" t="n"/>
      <c r="Q102" s="3" t="n"/>
      <c r="R102" s="3" t="n"/>
      <c r="S102" s="3" t="n"/>
      <c r="T102" s="3" t="n"/>
      <c r="U102" s="3" t="n"/>
      <c r="V102" s="3" t="n"/>
      <c r="W102" s="3" t="n"/>
      <c r="X102" s="3" t="n"/>
      <c r="Y102" s="3" t="n"/>
      <c r="Z102" s="3" t="n"/>
    </row>
    <row r="103" hidden="1" s="54">
      <c r="A103" s="13" t="inlineStr">
        <is>
          <t>TC-DAT-003</t>
        </is>
      </c>
      <c r="B103" s="13" t="inlineStr">
        <is>
          <t>Data Model</t>
        </is>
      </c>
      <c r="C103" s="13" t="inlineStr">
        <is>
          <t>Attachments</t>
        </is>
      </c>
      <c r="D103" s="13" t="inlineStr">
        <is>
          <t>Verify attachment data model completeness</t>
        </is>
      </c>
      <c r="E103" s="13" t="inlineStr">
        <is>
          <t>Documents attached to ringi</t>
        </is>
      </c>
      <c r="F103" s="13" t="inlineStr">
        <is>
          <t>1. Check approval_request_documents table schema
2. Verify columns: file_id, s3_object_key, hash, version, created_by, created_at</t>
        </is>
      </c>
      <c r="G103" s="13" t="inlineStr">
        <is>
          <t>Attachment table has all spec section 8 fields including hash and version.</t>
        </is>
      </c>
      <c r="H103" s="9" t="inlineStr">
        <is>
          <t>P2</t>
        </is>
      </c>
      <c r="I103" s="12" t="inlineStr">
        <is>
          <t>Partially Implemented</t>
        </is>
      </c>
      <c r="J103" s="13" t="inlineStr">
        <is>
          <t>Junction table exists (id, approval_request_id, document_id, document_url, created_at). Missing: hash, version, created_by.</t>
        </is>
      </c>
      <c r="K103" s="13" t="inlineStr">
        <is>
          <t>https://eb-filemg-development.vercel.app</t>
        </is>
      </c>
      <c r="L103" s="7" t="inlineStr">
        <is>
          <t>N/A</t>
        </is>
      </c>
      <c r="M103" s="8" t="n"/>
      <c r="N103" s="8" t="n"/>
      <c r="O103" s="13" t="inlineStr">
        <is>
          <t>Spec 7 (Data Model)
→ "Attachments: file_id, s3_object_key, hash, version, created_by, created_at"</t>
        </is>
      </c>
      <c r="P103" s="3" t="n"/>
      <c r="Q103" s="3" t="n"/>
      <c r="R103" s="3" t="n"/>
      <c r="S103" s="3" t="n"/>
      <c r="T103" s="3" t="n"/>
      <c r="U103" s="3" t="n"/>
      <c r="V103" s="3" t="n"/>
      <c r="W103" s="3" t="n"/>
      <c r="X103" s="3" t="n"/>
      <c r="Y103" s="3" t="n"/>
      <c r="Z103" s="3" t="n"/>
    </row>
    <row r="104" s="54">
      <c r="A104" s="13" t="inlineStr">
        <is>
          <t>TC-DAT-004</t>
        </is>
      </c>
      <c r="B104" s="13" t="inlineStr">
        <is>
          <t>Data Model</t>
        </is>
      </c>
      <c r="C104" s="13" t="inlineStr">
        <is>
          <t>Audit</t>
        </is>
      </c>
      <c r="D104" s="13" t="inlineStr">
        <is>
          <t>Verify audit log data model completeness</t>
        </is>
      </c>
      <c r="E104" s="13" t="inlineStr">
        <is>
          <t>Activity logs exist in system</t>
        </is>
      </c>
      <c r="F104" s="13" t="inlineStr">
        <is>
          <t>1. Check activity_logs table schema
2. Verify columns: actor_id, action, target_type, target_id, diff_json, ip, user_agent, occurred_at</t>
        </is>
      </c>
      <c r="G104" s="13" t="inlineStr">
        <is>
          <t>Audit log table has all spec section 8 fields including IP and user agent.</t>
        </is>
      </c>
      <c r="H104" s="9" t="inlineStr">
        <is>
          <t>P2</t>
        </is>
      </c>
      <c r="I104" s="12" t="inlineStr">
        <is>
          <t>Partially Implemented</t>
        </is>
      </c>
      <c r="J104" s="13" t="inlineStr">
        <is>
          <t>Has: user_id, action, entity_type, entity_id, old_values, new_values, metadata, created_at. Missing: ip, user_agent.</t>
        </is>
      </c>
      <c r="K104" s="13" t="inlineStr">
        <is>
          <t>https://eb-filemg-development.vercel.app</t>
        </is>
      </c>
      <c r="L104" s="7" t="inlineStr">
        <is>
          <t>N/A</t>
        </is>
      </c>
      <c r="M104" s="8" t="n"/>
      <c r="N104" s="8" t="n"/>
      <c r="O104" s="13" t="inlineStr">
        <is>
          <t>Spec 7 (Data Model)
→ "Auditing: actor_id, action, target_type, target_id, diff_json, ip, user_agent, occurred_at"</t>
        </is>
      </c>
      <c r="P104" s="3" t="n"/>
      <c r="Q104" s="3" t="n"/>
      <c r="R104" s="3" t="n"/>
      <c r="S104" s="3" t="n"/>
      <c r="T104" s="3" t="n"/>
      <c r="U104" s="3" t="n"/>
      <c r="V104" s="3" t="n"/>
      <c r="W104" s="3" t="n"/>
      <c r="X104" s="3" t="n"/>
      <c r="Y104" s="3" t="n"/>
      <c r="Z104" s="3" t="n"/>
    </row>
    <row r="105" s="54">
      <c r="A105" s="13" t="inlineStr">
        <is>
          <t>TC-DAT-005</t>
        </is>
      </c>
      <c r="B105" s="13" t="inlineStr">
        <is>
          <t>Data Model</t>
        </is>
      </c>
      <c r="C105" s="13" t="inlineStr">
        <is>
          <t>Benchmark</t>
        </is>
      </c>
      <c r="D105" s="13" t="inlineStr">
        <is>
          <t>Verify benchmark reference mapping table exists</t>
        </is>
      </c>
      <c r="E105" s="13" t="inlineStr">
        <is>
          <t>Database access available</t>
        </is>
      </c>
      <c r="F105" s="13" t="inlineStr">
        <is>
          <t>1. Check for freee ringi step mapping table
2. Verify structure contains step IDs, names for gap review</t>
        </is>
      </c>
      <c r="G105" s="13" t="inlineStr">
        <is>
          <t>Mapping table exists with freee step IDs/names for benchmark gap review (no external integration).</t>
        </is>
      </c>
      <c r="H105" s="14" t="inlineStr">
        <is>
          <t>P4</t>
        </is>
      </c>
      <c r="I105" s="10" t="inlineStr">
        <is>
          <t>Not Yet Implemented</t>
        </is>
      </c>
      <c r="J105" s="13" t="inlineStr">
        <is>
          <t>No benchmark reference table. Spec section 8 mentions it for gap review only.</t>
        </is>
      </c>
      <c r="K105" s="13" t="inlineStr">
        <is>
          <t>https://eb-filemg-development.vercel.app</t>
        </is>
      </c>
      <c r="L105" s="7" t="inlineStr">
        <is>
          <t>N/A</t>
        </is>
      </c>
      <c r="M105" s="8" t="n"/>
      <c r="N105" s="8" t="n"/>
      <c r="O105" s="13" t="inlineStr">
        <is>
          <t>Spec 7 (Data Model)
→ "Reference Benchmark: Maintain freee's Ringi step IDs/names in a mapping table"</t>
        </is>
      </c>
      <c r="P105" s="3" t="n"/>
      <c r="Q105" s="3" t="n"/>
      <c r="R105" s="3" t="n"/>
      <c r="S105" s="3" t="n"/>
      <c r="T105" s="3" t="n"/>
      <c r="U105" s="3" t="n"/>
      <c r="V105" s="3" t="n"/>
      <c r="W105" s="3" t="n"/>
      <c r="X105" s="3" t="n"/>
      <c r="Y105" s="3" t="n"/>
      <c r="Z105" s="3" t="n"/>
    </row>
    <row r="106" s="54">
      <c r="A106" s="13" t="inlineStr">
        <is>
          <t>TC-PDF-001</t>
        </is>
      </c>
      <c r="B106" s="13" t="inlineStr">
        <is>
          <t>PDF Generation</t>
        </is>
      </c>
      <c r="C106" s="13" t="inlineStr">
        <is>
          <t>Completion PDF</t>
        </is>
      </c>
      <c r="D106" s="13" t="inlineStr">
        <is>
          <t>Generate ringi PDF on final approval</t>
        </is>
      </c>
      <c r="E106" s="13" t="inlineStr">
        <is>
          <t>Ringi fully approved through all steps</t>
        </is>
      </c>
      <c r="F106" s="13" t="inlineStr">
        <is>
          <t>1. Complete final approval on a ringi
2. Verify PDF auto-generated
3. Download and review PDF content (subject, amount, approvers, dates)
4. Verify PDF stored in S3 with metadata</t>
        </is>
      </c>
      <c r="G106" s="13" t="inlineStr">
        <is>
          <t>PDF generated automatically on final approval. Contains ringi summary, all approval details. Stored in S3.</t>
        </is>
      </c>
      <c r="H106" s="9" t="inlineStr">
        <is>
          <t>P2</t>
        </is>
      </c>
      <c r="I106" s="10" t="inlineStr">
        <is>
          <t>Not Yet Implemented</t>
        </is>
      </c>
      <c r="J106" s="13" t="inlineStr">
        <is>
          <t>No PDF generation service. Spec section 5 requires PDF + S3 storage on completion.</t>
        </is>
      </c>
      <c r="K106" s="13" t="inlineStr">
        <is>
          <t>https://eb-filemg-development.vercel.app</t>
        </is>
      </c>
      <c r="L106" s="7" t="inlineStr">
        <is>
          <t>N/A</t>
        </is>
      </c>
      <c r="M106" s="8" t="n"/>
      <c r="N106" s="8" t="n"/>
      <c r="O106" s="13" t="inlineStr">
        <is>
          <t>Spec 6.3 (Approval Operations)
→ "Completed Ringi PDF and attachments are stored in S3 with metadata."</t>
        </is>
      </c>
      <c r="P106" s="3" t="n"/>
      <c r="Q106" s="3" t="n"/>
      <c r="R106" s="3" t="n"/>
      <c r="S106" s="3" t="n"/>
      <c r="T106" s="3" t="n"/>
      <c r="U106" s="3" t="n"/>
      <c r="V106" s="3" t="n"/>
      <c r="W106" s="3" t="n"/>
      <c r="X106" s="3" t="n"/>
      <c r="Y106" s="3" t="n"/>
      <c r="Z106" s="3" t="n"/>
    </row>
    <row r="107" s="54">
      <c r="A107" s="13" t="inlineStr">
        <is>
          <t>TC-PDF-002</t>
        </is>
      </c>
      <c r="B107" s="13" t="inlineStr">
        <is>
          <t>PDF Generation</t>
        </is>
      </c>
      <c r="C107" s="13" t="inlineStr">
        <is>
          <t>PDF Content</t>
        </is>
      </c>
      <c r="D107" s="13" t="inlineStr">
        <is>
          <t>Verify PDF contains complete ringi information</t>
        </is>
      </c>
      <c r="E107" s="13" t="inlineStr">
        <is>
          <t>Completion PDF generated for an approved ringi</t>
        </is>
      </c>
      <c r="F107" s="13" t="inlineStr">
        <is>
          <t>1. Open generated PDF
2. Verify it contains: title, category, amount, vendor, purpose, all items
3. Verify it contains: approval chain with names, dates, comments
4. Verify attachments list referenced</t>
        </is>
      </c>
      <c r="G107" s="13" t="inlineStr">
        <is>
          <t>PDF contains all ringi data, complete approval chain, and attachment references.</t>
        </is>
      </c>
      <c r="H107" s="9" t="inlineStr">
        <is>
          <t>P2</t>
        </is>
      </c>
      <c r="I107" s="10" t="inlineStr">
        <is>
          <t>Not Yet Implemented</t>
        </is>
      </c>
      <c r="J107" s="13" t="inlineStr">
        <is>
          <t>No PDF generation service.</t>
        </is>
      </c>
      <c r="K107" s="13" t="inlineStr">
        <is>
          <t>https://eb-filemg-development.vercel.app</t>
        </is>
      </c>
      <c r="L107" s="7" t="inlineStr">
        <is>
          <t>N/A</t>
        </is>
      </c>
      <c r="M107" s="8" t="n"/>
      <c r="N107" s="8" t="n"/>
      <c r="O107" s="13" t="inlineStr">
        <is>
          <t>Spec 6.3 (Approval Operations)
→ "Completed Ringi PDF and attachments are stored in S3 with metadata."</t>
        </is>
      </c>
      <c r="P107" s="3" t="n"/>
      <c r="Q107" s="3" t="n"/>
      <c r="R107" s="3" t="n"/>
      <c r="S107" s="3" t="n"/>
      <c r="T107" s="3" t="n"/>
      <c r="U107" s="3" t="n"/>
      <c r="V107" s="3" t="n"/>
      <c r="W107" s="3" t="n"/>
      <c r="X107" s="3" t="n"/>
      <c r="Y107" s="3" t="n"/>
      <c r="Z107" s="3" t="n"/>
    </row>
    <row r="108" s="54">
      <c r="A108" s="13" t="inlineStr">
        <is>
          <t>TC-PDF-003</t>
        </is>
      </c>
      <c r="B108" s="13" t="inlineStr">
        <is>
          <t>PDF Generation</t>
        </is>
      </c>
      <c r="C108" s="13" t="inlineStr">
        <is>
          <t>S3 Storage</t>
        </is>
      </c>
      <c r="D108" s="13" t="inlineStr">
        <is>
          <t>Verify PDF stored in S3 with metadata tags</t>
        </is>
      </c>
      <c r="E108" s="13" t="inlineStr">
        <is>
          <t>Completion PDF generated</t>
        </is>
      </c>
      <c r="F108" s="13" t="inlineStr">
        <is>
          <t>1. Check S3 bucket for generated PDF
2. Verify metadata tags applied (ringi_id, category, department, approved_date)
3. Verify S3 object key follows naming convention</t>
        </is>
      </c>
      <c r="G108" s="13" t="inlineStr">
        <is>
          <t>PDF stored in S3 with proper metadata tags. Accessible via presigned URL.</t>
        </is>
      </c>
      <c r="H108" s="11" t="inlineStr">
        <is>
          <t>P3</t>
        </is>
      </c>
      <c r="I108" s="10" t="inlineStr">
        <is>
          <t>Not Yet Implemented</t>
        </is>
      </c>
      <c r="J108" s="13" t="inlineStr">
        <is>
          <t>No S3 metadata tagging for completion PDFs.</t>
        </is>
      </c>
      <c r="K108" s="13" t="inlineStr">
        <is>
          <t>https://eb-filemg-development.vercel.app</t>
        </is>
      </c>
      <c r="L108" s="7" t="inlineStr">
        <is>
          <t>N/A</t>
        </is>
      </c>
      <c r="M108" s="8" t="n"/>
      <c r="N108" s="8" t="n"/>
      <c r="O108" s="13" t="inlineStr">
        <is>
          <t>Spec 6.3 (Approval Operations)
→ "Completed Ringi PDF and attachments are stored in S3 with metadata."</t>
        </is>
      </c>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5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5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5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5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5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5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5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5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5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5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5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5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5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5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5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5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5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5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5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5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5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5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5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5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5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5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5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5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5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5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5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5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5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5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5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5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5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5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5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5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5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5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5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5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5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5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5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5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5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5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5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5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5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5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5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5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5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5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5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5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5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5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5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5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5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5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5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5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5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5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5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5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5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5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5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5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5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5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5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5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5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5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5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5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5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5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5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5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5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5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5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5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5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5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5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5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5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5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5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5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5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5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5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5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5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5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5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5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5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5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5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5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5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5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5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5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5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5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5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5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5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5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54">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54">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54">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54">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54">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54">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54">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54">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54">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5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54">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54">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54">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54">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54">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54">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54">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54">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54">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54">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54">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54">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54">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54">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54">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54">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54">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54">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5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54">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54">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54">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54">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54">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54">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54">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54">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54">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5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54">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54">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54">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54">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54">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54">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54">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54">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54">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5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54">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54">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54">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54">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54">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54">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54">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54">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54">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5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54">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54">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54">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54">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54">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54">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54">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54">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54">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5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54">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54">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54">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54">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54">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54">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54">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54">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54">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5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54">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54">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54">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54">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54">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54">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54">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54">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54">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5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54">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54">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54">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54">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54">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54">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54">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54">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54">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5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54">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54">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54">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54">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54">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54">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54">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54">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54">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5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54">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54">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54">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54">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54">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54">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54">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54">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54">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54">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54">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54">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54">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54">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54">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54">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54">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54">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5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54">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54">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54">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54">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54">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54">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54">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54">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54">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5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54">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54">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54">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54">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54">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54">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54">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54">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54">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5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54">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54">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54">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54">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54">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54">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54">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54">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54">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5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54">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54">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54">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54">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54">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54">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54">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54">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54">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5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54">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54">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54">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54">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54">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54">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54">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54">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54">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5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54">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54">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54">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54">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54">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54">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54">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54">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54">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5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54">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54">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54">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54">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54">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54">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54">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54">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54">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5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54">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54">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54">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54">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54">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54">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54">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54">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54">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5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54">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5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5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5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5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5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5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5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5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5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5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5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5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5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5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5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5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5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5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5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5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5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5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5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5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5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5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5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5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5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5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5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5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5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5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5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5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5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5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5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5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5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5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5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5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5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5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5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5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5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5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5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5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5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5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5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5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5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5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5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5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5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5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5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5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5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5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5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5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5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5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5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5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5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5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5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5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5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5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5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5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5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5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5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5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5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5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5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5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5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5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5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5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5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5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5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5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5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5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5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5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5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5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5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5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5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5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5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5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5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5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5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5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5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5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5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5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5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5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5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5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5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5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5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5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5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5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5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5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5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5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5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5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5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5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5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5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5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5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5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5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5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5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5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5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5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5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5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5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5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5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5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5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5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5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5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5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5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5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5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5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5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5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5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5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5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5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5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5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5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5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5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5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5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5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5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5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5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5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5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5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5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5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5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5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5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5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5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5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5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5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5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5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5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5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5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5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5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5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5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5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5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5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5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5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5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5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5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5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5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5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5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5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5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5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5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5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5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5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5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5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5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5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5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5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5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5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5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5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5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5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5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5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5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5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5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5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5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5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5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5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5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5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5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5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5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5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5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5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5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5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5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5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5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5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5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5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5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5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5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5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5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5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5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5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5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5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5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5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5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5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5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5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5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5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5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5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5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5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5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5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5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5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5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5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5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5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5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5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5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5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5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5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5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5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5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5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5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5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5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5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5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5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5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5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5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5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5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5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5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5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5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5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5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5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5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5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5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5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5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5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5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5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5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5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5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5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5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5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5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5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5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5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5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5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5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5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5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5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5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5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5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5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5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5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5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5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5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5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5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5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5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5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5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5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5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5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5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5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5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5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5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5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5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5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5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5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5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5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5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5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5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5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5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5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5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5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5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5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5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5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5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5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5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5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5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5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5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5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5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5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5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5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5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5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5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5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5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5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5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5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5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5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5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5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5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5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5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5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5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5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5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5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5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5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5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5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5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5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5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5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5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5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5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5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5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5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5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5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5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5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5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5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5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5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5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5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5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5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5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5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5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5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5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5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5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5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5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5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5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5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5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5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5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5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5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5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5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5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5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5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5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5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5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5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5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5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5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5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5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5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5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5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5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5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5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5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5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5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5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5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5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5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5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5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5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5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5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5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5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5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5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5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5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5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5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5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5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5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5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5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5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5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5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5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5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5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5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5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5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5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5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5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5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5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5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5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5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5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5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5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5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5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5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5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5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5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5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5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5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5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5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5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5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5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5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5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5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5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5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5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5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5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5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5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5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5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54"/>
    <row r="999" ht="15.75" customHeight="1" s="54"/>
    <row r="1000" ht="15.75" customHeight="1" s="54"/>
  </sheetData>
  <autoFilter ref="$A$1:$O$111">
    <filterColumn colId="8" hiddenButton="0" showButton="1">
      <filters>
        <filter val="Not Yet Implemented"/>
        <filter val="Partially Implemented"/>
      </filters>
    </filterColumn>
  </autoFilter>
  <dataValidations count="1">
    <dataValidation sqref="L2:L111" showDropDown="0" showInputMessage="0" showErrorMessage="0" allowBlank="1" type="list">
      <formula1>"Passed,Partial Pass,Failed,N/A"</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4" customWidth="1" style="54" min="1" max="1"/>
    <col width="10" customWidth="1" style="54" min="2" max="2"/>
    <col width="14" customWidth="1" style="54" min="3" max="3"/>
    <col width="14" customWidth="1" style="54" min="4" max="4"/>
    <col width="12" customWidth="1" style="54" min="5" max="5"/>
    <col width="12" customWidth="1" style="54" min="6" max="6"/>
    <col width="13" customWidth="1" style="54" min="7" max="7"/>
  </cols>
  <sheetData>
    <row r="1">
      <c r="A1" s="55" t="inlineStr">
        <is>
          <t>Test Cases — Spec Implementation Coverage</t>
        </is>
      </c>
    </row>
    <row r="2">
      <c r="A2" s="56" t="inlineStr">
        <is>
          <t>Category</t>
        </is>
      </c>
      <c r="B2" s="57" t="inlineStr">
        <is>
          <t>Total</t>
        </is>
      </c>
      <c r="C2" s="57" t="inlineStr">
        <is>
          <t>Implemented</t>
        </is>
      </c>
      <c r="D2" s="57" t="inlineStr">
        <is>
          <t>Partial</t>
        </is>
      </c>
      <c r="E2" s="57" t="inlineStr">
        <is>
          <t>Not Yet</t>
        </is>
      </c>
      <c r="F2" s="57" t="inlineStr">
        <is>
          <t>Coverage %</t>
        </is>
      </c>
    </row>
    <row r="3">
      <c r="A3" s="58" t="inlineStr">
        <is>
          <t>Submission</t>
        </is>
      </c>
      <c r="B3" s="59">
        <f>COUNTIF('Test Cases'!B:B,A3)</f>
        <v/>
      </c>
      <c r="C3" s="59">
        <f>COUNTIFS('Test Cases'!B:B,A3,'Test Cases'!I:I,"Implemented")</f>
        <v/>
      </c>
      <c r="D3" s="59">
        <f>COUNTIFS('Test Cases'!B:B,A3,'Test Cases'!I:I,"Partially Implemented")</f>
        <v/>
      </c>
      <c r="E3" s="59">
        <f>B3-C3-D3</f>
        <v/>
      </c>
      <c r="F3" s="60">
        <f>IF(B3=0,0,(C3+D3*0.5)/B3)</f>
        <v/>
      </c>
    </row>
    <row r="4">
      <c r="A4" s="58" t="inlineStr">
        <is>
          <t>Approval Routes</t>
        </is>
      </c>
      <c r="B4" s="59">
        <f>COUNTIF('Test Cases'!B:B,A4)</f>
        <v/>
      </c>
      <c r="C4" s="59">
        <f>COUNTIFS('Test Cases'!B:B,A4,'Test Cases'!I:I,"Implemented")</f>
        <v/>
      </c>
      <c r="D4" s="59">
        <f>COUNTIFS('Test Cases'!B:B,A4,'Test Cases'!I:I,"Partially Implemented")</f>
        <v/>
      </c>
      <c r="E4" s="59">
        <f>B4-C4-D4</f>
        <v/>
      </c>
      <c r="F4" s="60">
        <f>IF(B4=0,0,(C4+D4*0.5)/B4)</f>
        <v/>
      </c>
    </row>
    <row r="5">
      <c r="A5" s="58" t="inlineStr">
        <is>
          <t>Approval Operations</t>
        </is>
      </c>
      <c r="B5" s="59">
        <f>COUNTIF('Test Cases'!B:B,A5)</f>
        <v/>
      </c>
      <c r="C5" s="59">
        <f>COUNTIFS('Test Cases'!B:B,A5,'Test Cases'!I:I,"Implemented")</f>
        <v/>
      </c>
      <c r="D5" s="59">
        <f>COUNTIFS('Test Cases'!B:B,A5,'Test Cases'!I:I,"Partially Implemented")</f>
        <v/>
      </c>
      <c r="E5" s="59">
        <f>B5-C5-D5</f>
        <v/>
      </c>
      <c r="F5" s="60">
        <f>IF(B5=0,0,(C5+D5*0.5)/B5)</f>
        <v/>
      </c>
    </row>
    <row r="6">
      <c r="A6" s="58" t="inlineStr">
        <is>
          <t>Notifications</t>
        </is>
      </c>
      <c r="B6" s="59">
        <f>COUNTIF('Test Cases'!B:B,A6)</f>
        <v/>
      </c>
      <c r="C6" s="59">
        <f>COUNTIFS('Test Cases'!B:B,A6,'Test Cases'!I:I,"Implemented")</f>
        <v/>
      </c>
      <c r="D6" s="59">
        <f>COUNTIFS('Test Cases'!B:B,A6,'Test Cases'!I:I,"Partially Implemented")</f>
        <v/>
      </c>
      <c r="E6" s="59">
        <f>B6-C6-D6</f>
        <v/>
      </c>
      <c r="F6" s="60">
        <f>IF(B6=0,0,(C6+D6*0.5)/B6)</f>
        <v/>
      </c>
    </row>
    <row r="7">
      <c r="A7" s="58" t="inlineStr">
        <is>
          <t>Search &amp; Reference</t>
        </is>
      </c>
      <c r="B7" s="59">
        <f>COUNTIF('Test Cases'!B:B,A7)</f>
        <v/>
      </c>
      <c r="C7" s="59">
        <f>COUNTIFS('Test Cases'!B:B,A7,'Test Cases'!I:I,"Implemented")</f>
        <v/>
      </c>
      <c r="D7" s="59">
        <f>COUNTIFS('Test Cases'!B:B,A7,'Test Cases'!I:I,"Partially Implemented")</f>
        <v/>
      </c>
      <c r="E7" s="59">
        <f>B7-C7-D7</f>
        <v/>
      </c>
      <c r="F7" s="60">
        <f>IF(B7=0,0,(C7+D7*0.5)/B7)</f>
        <v/>
      </c>
    </row>
    <row r="8">
      <c r="A8" s="58" t="inlineStr">
        <is>
          <t>Reporting</t>
        </is>
      </c>
      <c r="B8" s="59">
        <f>COUNTIF('Test Cases'!B:B,A8)</f>
        <v/>
      </c>
      <c r="C8" s="59">
        <f>COUNTIFS('Test Cases'!B:B,A8,'Test Cases'!I:I,"Implemented")</f>
        <v/>
      </c>
      <c r="D8" s="59">
        <f>COUNTIFS('Test Cases'!B:B,A8,'Test Cases'!I:I,"Partially Implemented")</f>
        <v/>
      </c>
      <c r="E8" s="59">
        <f>B8-C8-D8</f>
        <v/>
      </c>
      <c r="F8" s="60">
        <f>IF(B8=0,0,(C8+D8*0.5)/B8)</f>
        <v/>
      </c>
    </row>
    <row r="9">
      <c r="A9" s="58" t="inlineStr">
        <is>
          <t>Permissions &amp; Security</t>
        </is>
      </c>
      <c r="B9" s="59">
        <f>COUNTIF('Test Cases'!B:B,A9)</f>
        <v/>
      </c>
      <c r="C9" s="59">
        <f>COUNTIFS('Test Cases'!B:B,A9,'Test Cases'!I:I,"Implemented")</f>
        <v/>
      </c>
      <c r="D9" s="59">
        <f>COUNTIFS('Test Cases'!B:B,A9,'Test Cases'!I:I,"Partially Implemented")</f>
        <v/>
      </c>
      <c r="E9" s="59">
        <f>B9-C9-D9</f>
        <v/>
      </c>
      <c r="F9" s="60">
        <f>IF(B9=0,0,(C9+D9*0.5)/B9)</f>
        <v/>
      </c>
    </row>
    <row r="10">
      <c r="A10" s="58" t="inlineStr">
        <is>
          <t>UI/UX</t>
        </is>
      </c>
      <c r="B10" s="59">
        <f>COUNTIF('Test Cases'!B:B,A10)</f>
        <v/>
      </c>
      <c r="C10" s="59">
        <f>COUNTIFS('Test Cases'!B:B,A10,'Test Cases'!I:I,"Implemented")</f>
        <v/>
      </c>
      <c r="D10" s="59">
        <f>COUNTIFS('Test Cases'!B:B,A10,'Test Cases'!I:I,"Partially Implemented")</f>
        <v/>
      </c>
      <c r="E10" s="59">
        <f>B10-C10-D10</f>
        <v/>
      </c>
      <c r="F10" s="60">
        <f>IF(B10=0,0,(C10+D10*0.5)/B10)</f>
        <v/>
      </c>
    </row>
    <row r="11">
      <c r="A11" s="58" t="inlineStr">
        <is>
          <t>Non-Functional</t>
        </is>
      </c>
      <c r="B11" s="59">
        <f>COUNTIF('Test Cases'!B:B,A11)</f>
        <v/>
      </c>
      <c r="C11" s="59">
        <f>COUNTIFS('Test Cases'!B:B,A11,'Test Cases'!I:I,"Implemented")</f>
        <v/>
      </c>
      <c r="D11" s="59">
        <f>COUNTIFS('Test Cases'!B:B,A11,'Test Cases'!I:I,"Partially Implemented")</f>
        <v/>
      </c>
      <c r="E11" s="59">
        <f>B11-C11-D11</f>
        <v/>
      </c>
      <c r="F11" s="60">
        <f>IF(B11=0,0,(C11+D11*0.5)/B11)</f>
        <v/>
      </c>
    </row>
    <row r="12">
      <c r="A12" s="58" t="inlineStr">
        <is>
          <t>Admin &amp; Operations</t>
        </is>
      </c>
      <c r="B12" s="59">
        <f>COUNTIF('Test Cases'!B:B,A12)</f>
        <v/>
      </c>
      <c r="C12" s="59">
        <f>COUNTIFS('Test Cases'!B:B,A12,'Test Cases'!I:I,"Implemented")</f>
        <v/>
      </c>
      <c r="D12" s="59">
        <f>COUNTIFS('Test Cases'!B:B,A12,'Test Cases'!I:I,"Partially Implemented")</f>
        <v/>
      </c>
      <c r="E12" s="59">
        <f>B12-C12-D12</f>
        <v/>
      </c>
      <c r="F12" s="60">
        <f>IF(B12=0,0,(C12+D12*0.5)/B12)</f>
        <v/>
      </c>
    </row>
    <row r="13">
      <c r="A13" s="58" t="inlineStr">
        <is>
          <t>Data Model</t>
        </is>
      </c>
      <c r="B13" s="59">
        <f>COUNTIF('Test Cases'!B:B,A13)</f>
        <v/>
      </c>
      <c r="C13" s="59">
        <f>COUNTIFS('Test Cases'!B:B,A13,'Test Cases'!I:I,"Implemented")</f>
        <v/>
      </c>
      <c r="D13" s="59">
        <f>COUNTIFS('Test Cases'!B:B,A13,'Test Cases'!I:I,"Partially Implemented")</f>
        <v/>
      </c>
      <c r="E13" s="59">
        <f>B13-C13-D13</f>
        <v/>
      </c>
      <c r="F13" s="60">
        <f>IF(B13=0,0,(C13+D13*0.5)/B13)</f>
        <v/>
      </c>
    </row>
    <row r="14">
      <c r="A14" s="58" t="inlineStr">
        <is>
          <t>PDF Generation</t>
        </is>
      </c>
      <c r="B14" s="59">
        <f>COUNTIF('Test Cases'!B:B,A14)</f>
        <v/>
      </c>
      <c r="C14" s="59">
        <f>COUNTIFS('Test Cases'!B:B,A14,'Test Cases'!I:I,"Implemented")</f>
        <v/>
      </c>
      <c r="D14" s="59">
        <f>COUNTIFS('Test Cases'!B:B,A14,'Test Cases'!I:I,"Partially Implemented")</f>
        <v/>
      </c>
      <c r="E14" s="59">
        <f>B14-C14-D14</f>
        <v/>
      </c>
      <c r="F14" s="60">
        <f>IF(B14=0,0,(C14+D14*0.5)/B14)</f>
        <v/>
      </c>
    </row>
    <row r="15">
      <c r="A15" s="61" t="inlineStr">
        <is>
          <t>TOTAL</t>
        </is>
      </c>
      <c r="B15" s="62">
        <f>SUM(B3:B14)</f>
        <v/>
      </c>
      <c r="C15" s="62">
        <f>SUM(C3:C14)</f>
        <v/>
      </c>
      <c r="D15" s="62">
        <f>SUM(D3:D14)</f>
        <v/>
      </c>
      <c r="E15" s="62">
        <f>SUM(E3:E14)</f>
        <v/>
      </c>
      <c r="F15" s="63">
        <f>IF(B15=0,0,(C15+D15*0.5)/B15)</f>
        <v/>
      </c>
    </row>
    <row r="17">
      <c r="A17" s="55" t="inlineStr">
        <is>
          <t>Actionable Test Cases — QA Test Results</t>
        </is>
      </c>
    </row>
    <row r="18">
      <c r="A18" s="56" t="inlineStr">
        <is>
          <t>Category</t>
        </is>
      </c>
      <c r="B18" s="57" t="inlineStr">
        <is>
          <t>Total</t>
        </is>
      </c>
      <c r="C18" s="57" t="inlineStr">
        <is>
          <t>Passed</t>
        </is>
      </c>
      <c r="D18" s="57" t="inlineStr">
        <is>
          <t>Partial Pass</t>
        </is>
      </c>
      <c r="E18" s="57" t="inlineStr">
        <is>
          <t>Failed</t>
        </is>
      </c>
      <c r="F18" s="57" t="inlineStr">
        <is>
          <t>Blocked</t>
        </is>
      </c>
      <c r="G18" s="57" t="inlineStr">
        <is>
          <t>Pass Rate %</t>
        </is>
      </c>
    </row>
    <row r="19">
      <c r="A19" s="58" t="inlineStr">
        <is>
          <t>Submission</t>
        </is>
      </c>
      <c r="B19" s="59">
        <f>COUNTIF('Actionable Test Cases'!B:B,A19)</f>
        <v/>
      </c>
      <c r="C19" s="59">
        <f>COUNTIFS('Actionable Test Cases'!B:B,A19,'Actionable Test Cases'!K:K,"Passed")</f>
        <v/>
      </c>
      <c r="D19" s="59">
        <f>COUNTIFS('Actionable Test Cases'!B:B,A19,'Actionable Test Cases'!K:K,"Partial Pass")</f>
        <v/>
      </c>
      <c r="E19" s="59">
        <f>COUNTIFS('Actionable Test Cases'!B:B,A19,'Actionable Test Cases'!K:K,"Failed")</f>
        <v/>
      </c>
      <c r="F19" s="59">
        <f>COUNTIFS('Actionable Test Cases'!B:B,A19,'Actionable Test Cases'!K:K,"Blocked")</f>
        <v/>
      </c>
      <c r="G19" s="60">
        <f>IF((B19-F19)=0,0,(C19+D19*0.5)/(B19-F19))</f>
        <v/>
      </c>
    </row>
    <row r="20">
      <c r="A20" s="58" t="inlineStr">
        <is>
          <t>Approval</t>
        </is>
      </c>
      <c r="B20" s="59">
        <f>COUNTIF('Actionable Test Cases'!B:B,A20)</f>
        <v/>
      </c>
      <c r="C20" s="59">
        <f>COUNTIFS('Actionable Test Cases'!B:B,A20,'Actionable Test Cases'!K:K,"Passed")</f>
        <v/>
      </c>
      <c r="D20" s="59">
        <f>COUNTIFS('Actionable Test Cases'!B:B,A20,'Actionable Test Cases'!K:K,"Partial Pass")</f>
        <v/>
      </c>
      <c r="E20" s="59">
        <f>COUNTIFS('Actionable Test Cases'!B:B,A20,'Actionable Test Cases'!K:K,"Failed")</f>
        <v/>
      </c>
      <c r="F20" s="59">
        <f>COUNTIFS('Actionable Test Cases'!B:B,A20,'Actionable Test Cases'!K:K,"Blocked")</f>
        <v/>
      </c>
      <c r="G20" s="60">
        <f>IF((B20-F20)=0,0,(C20+D20*0.5)/(B20-F20))</f>
        <v/>
      </c>
    </row>
    <row r="21">
      <c r="A21" s="58" t="inlineStr">
        <is>
          <t>AI Chat</t>
        </is>
      </c>
      <c r="B21" s="59">
        <f>COUNTIF('Actionable Test Cases'!B:B,A21)</f>
        <v/>
      </c>
      <c r="C21" s="59">
        <f>COUNTIFS('Actionable Test Cases'!B:B,A21,'Actionable Test Cases'!K:K,"Passed")</f>
        <v/>
      </c>
      <c r="D21" s="59">
        <f>COUNTIFS('Actionable Test Cases'!B:B,A21,'Actionable Test Cases'!K:K,"Partial Pass")</f>
        <v/>
      </c>
      <c r="E21" s="59">
        <f>COUNTIFS('Actionable Test Cases'!B:B,A21,'Actionable Test Cases'!K:K,"Failed")</f>
        <v/>
      </c>
      <c r="F21" s="59">
        <f>COUNTIFS('Actionable Test Cases'!B:B,A21,'Actionable Test Cases'!K:K,"Blocked")</f>
        <v/>
      </c>
      <c r="G21" s="60">
        <f>IF((B21-F21)=0,0,(C21+D21*0.5)/(B21-F21))</f>
        <v/>
      </c>
    </row>
    <row r="22">
      <c r="A22" s="58" t="inlineStr">
        <is>
          <t>AI Retrieval</t>
        </is>
      </c>
      <c r="B22" s="59">
        <f>COUNTIF('Actionable Test Cases'!B:B,A22)</f>
        <v/>
      </c>
      <c r="C22" s="59">
        <f>COUNTIFS('Actionable Test Cases'!B:B,A22,'Actionable Test Cases'!K:K,"Passed")</f>
        <v/>
      </c>
      <c r="D22" s="59">
        <f>COUNTIFS('Actionable Test Cases'!B:B,A22,'Actionable Test Cases'!K:K,"Partial Pass")</f>
        <v/>
      </c>
      <c r="E22" s="59">
        <f>COUNTIFS('Actionable Test Cases'!B:B,A22,'Actionable Test Cases'!K:K,"Failed")</f>
        <v/>
      </c>
      <c r="F22" s="59">
        <f>COUNTIFS('Actionable Test Cases'!B:B,A22,'Actionable Test Cases'!K:K,"Blocked")</f>
        <v/>
      </c>
      <c r="G22" s="60">
        <f>IF((B22-F22)=0,0,(C22+D22*0.5)/(B22-F22))</f>
        <v/>
      </c>
    </row>
    <row r="23">
      <c r="A23" s="58" t="inlineStr">
        <is>
          <t>Status</t>
        </is>
      </c>
      <c r="B23" s="59">
        <f>COUNTIF('Actionable Test Cases'!B:B,A23)</f>
        <v/>
      </c>
      <c r="C23" s="59">
        <f>COUNTIFS('Actionable Test Cases'!B:B,A23,'Actionable Test Cases'!K:K,"Passed")</f>
        <v/>
      </c>
      <c r="D23" s="59">
        <f>COUNTIFS('Actionable Test Cases'!B:B,A23,'Actionable Test Cases'!K:K,"Partial Pass")</f>
        <v/>
      </c>
      <c r="E23" s="59">
        <f>COUNTIFS('Actionable Test Cases'!B:B,A23,'Actionable Test Cases'!K:K,"Failed")</f>
        <v/>
      </c>
      <c r="F23" s="59">
        <f>COUNTIFS('Actionable Test Cases'!B:B,A23,'Actionable Test Cases'!K:K,"Blocked")</f>
        <v/>
      </c>
      <c r="G23" s="60">
        <f>IF((B23-F23)=0,0,(C23+D23*0.5)/(B23-F23))</f>
        <v/>
      </c>
    </row>
    <row r="24">
      <c r="A24" s="58" t="inlineStr">
        <is>
          <t>User Role</t>
        </is>
      </c>
      <c r="B24" s="59">
        <f>COUNTIF('Actionable Test Cases'!B:B,A24)</f>
        <v/>
      </c>
      <c r="C24" s="59">
        <f>COUNTIFS('Actionable Test Cases'!B:B,A24,'Actionable Test Cases'!K:K,"Passed")</f>
        <v/>
      </c>
      <c r="D24" s="59">
        <f>COUNTIFS('Actionable Test Cases'!B:B,A24,'Actionable Test Cases'!K:K,"Partial Pass")</f>
        <v/>
      </c>
      <c r="E24" s="59">
        <f>COUNTIFS('Actionable Test Cases'!B:B,A24,'Actionable Test Cases'!K:K,"Failed")</f>
        <v/>
      </c>
      <c r="F24" s="59">
        <f>COUNTIFS('Actionable Test Cases'!B:B,A24,'Actionable Test Cases'!K:K,"Blocked")</f>
        <v/>
      </c>
      <c r="G24" s="60">
        <f>IF((B24-F24)=0,0,(C24+D24*0.5)/(B24-F24))</f>
        <v/>
      </c>
    </row>
    <row r="25">
      <c r="A25" s="61" t="inlineStr">
        <is>
          <t>TOTAL</t>
        </is>
      </c>
      <c r="B25" s="62">
        <f>SUM(B19:B24)</f>
        <v/>
      </c>
      <c r="C25" s="62">
        <f>SUM(C19:C24)</f>
        <v/>
      </c>
      <c r="D25" s="62">
        <f>SUM(D19:D24)</f>
        <v/>
      </c>
      <c r="E25" s="62">
        <f>SUM(E19:E24)</f>
        <v/>
      </c>
      <c r="F25" s="62">
        <f>SUM(F19:F24)</f>
        <v/>
      </c>
      <c r="G25" s="63">
        <f>IF((B25-F25)=0,0,(C25+D25*0.5)/(B25-F25))</f>
        <v/>
      </c>
    </row>
    <row r="27">
      <c r="A27" s="64" t="inlineStr">
        <is>
          <t>Legend</t>
        </is>
      </c>
    </row>
    <row r="28">
      <c r="A28" s="65" t="inlineStr">
        <is>
          <t>Test Cases Status:</t>
        </is>
      </c>
    </row>
    <row r="29">
      <c r="A29" s="66" t="inlineStr">
        <is>
          <t>Implemented = feature fully built and working  |  Partially Implemented = some functionality exists but gaps remain  |  Not Yet Implemented = not started</t>
        </is>
      </c>
    </row>
    <row r="30">
      <c r="A30" s="66" t="inlineStr">
        <is>
          <t>Coverage % = (Implemented + Partially Implemented × 0.5) / Total</t>
        </is>
      </c>
    </row>
    <row r="32">
      <c r="A32" s="65" t="inlineStr">
        <is>
          <t>Actionable Test Cases Status:</t>
        </is>
      </c>
    </row>
    <row r="33">
      <c r="A33" s="66" t="inlineStr">
        <is>
          <t>Passed = test passed  |  Partial Pass = partially working  |  Failed = test failed  |  Blocked = cannot test (dependency/prerequisite missing)</t>
        </is>
      </c>
    </row>
    <row r="34">
      <c r="A34" s="66" t="inlineStr">
        <is>
          <t>Pass Rate % = (Passed + Partial Pass × 0.5) / (Total − Blocked)</t>
        </is>
      </c>
    </row>
    <row r="37">
      <c r="A37" s="68" t="inlineStr">
        <is>
          <t>Actionable Test Bugs — Bug Summary</t>
        </is>
      </c>
    </row>
    <row r="38">
      <c r="A38" s="69" t="inlineStr">
        <is>
          <t>Category</t>
        </is>
      </c>
      <c r="B38" s="69" t="inlineStr">
        <is>
          <t>Total</t>
        </is>
      </c>
      <c r="C38" s="69" t="inlineStr">
        <is>
          <t>Critical</t>
        </is>
      </c>
      <c r="D38" s="69" t="inlineStr">
        <is>
          <t>Major</t>
        </is>
      </c>
      <c r="E38" s="69" t="inlineStr">
        <is>
          <t>Minor</t>
        </is>
      </c>
      <c r="F38" s="69" t="inlineStr">
        <is>
          <t>Bug</t>
        </is>
      </c>
      <c r="G38" s="69" t="inlineStr">
        <is>
          <t>Enhancement</t>
        </is>
      </c>
    </row>
    <row r="39">
      <c r="A39" s="70" t="inlineStr">
        <is>
          <t>Submission</t>
        </is>
      </c>
      <c r="B39" s="70">
        <f>COUNTIF('Actionable Test Bugs'!C:C,A39)</f>
        <v/>
      </c>
      <c r="C39" s="70">
        <f>COUNTIFS('Actionable Test Bugs'!C:C,A39,'Actionable Test Bugs'!G:G,"Critical")</f>
        <v/>
      </c>
      <c r="D39" s="70">
        <f>COUNTIFS('Actionable Test Bugs'!C:C,A39,'Actionable Test Bugs'!G:G,"Major")</f>
        <v/>
      </c>
      <c r="E39" s="70">
        <f>COUNTIFS('Actionable Test Bugs'!C:C,A39,'Actionable Test Bugs'!G:G,"Minor")</f>
        <v/>
      </c>
      <c r="F39" s="70">
        <f>COUNTIFS('Actionable Test Bugs'!C:C,A39,'Actionable Test Bugs'!F:F,"Bug")</f>
        <v/>
      </c>
      <c r="G39" s="70">
        <f>COUNTIFS('Actionable Test Bugs'!C:C,A39,'Actionable Test Bugs'!F:F,"Enhancement")</f>
        <v/>
      </c>
    </row>
    <row r="40">
      <c r="A40" s="70" t="inlineStr">
        <is>
          <t>Approval</t>
        </is>
      </c>
      <c r="B40" s="70">
        <f>COUNTIF('Actionable Test Bugs'!C:C,A40)</f>
        <v/>
      </c>
      <c r="C40" s="70">
        <f>COUNTIFS('Actionable Test Bugs'!C:C,A40,'Actionable Test Bugs'!G:G,"Critical")</f>
        <v/>
      </c>
      <c r="D40" s="70">
        <f>COUNTIFS('Actionable Test Bugs'!C:C,A40,'Actionable Test Bugs'!G:G,"Major")</f>
        <v/>
      </c>
      <c r="E40" s="70">
        <f>COUNTIFS('Actionable Test Bugs'!C:C,A40,'Actionable Test Bugs'!G:G,"Minor")</f>
        <v/>
      </c>
      <c r="F40" s="70">
        <f>COUNTIFS('Actionable Test Bugs'!C:C,A40,'Actionable Test Bugs'!F:F,"Bug")</f>
        <v/>
      </c>
      <c r="G40" s="70">
        <f>COUNTIFS('Actionable Test Bugs'!C:C,A40,'Actionable Test Bugs'!F:F,"Enhancement")</f>
        <v/>
      </c>
    </row>
    <row r="41">
      <c r="A41" s="70" t="inlineStr">
        <is>
          <t>AI Chat</t>
        </is>
      </c>
      <c r="B41" s="70">
        <f>COUNTIF('Actionable Test Bugs'!C:C,A41)</f>
        <v/>
      </c>
      <c r="C41" s="70">
        <f>COUNTIFS('Actionable Test Bugs'!C:C,A41,'Actionable Test Bugs'!G:G,"Critical")</f>
        <v/>
      </c>
      <c r="D41" s="70">
        <f>COUNTIFS('Actionable Test Bugs'!C:C,A41,'Actionable Test Bugs'!G:G,"Major")</f>
        <v/>
      </c>
      <c r="E41" s="70">
        <f>COUNTIFS('Actionable Test Bugs'!C:C,A41,'Actionable Test Bugs'!G:G,"Minor")</f>
        <v/>
      </c>
      <c r="F41" s="70">
        <f>COUNTIFS('Actionable Test Bugs'!C:C,A41,'Actionable Test Bugs'!F:F,"Bug")</f>
        <v/>
      </c>
      <c r="G41" s="70">
        <f>COUNTIFS('Actionable Test Bugs'!C:C,A41,'Actionable Test Bugs'!F:F,"Enhancement")</f>
        <v/>
      </c>
    </row>
    <row r="42">
      <c r="A42" s="70" t="inlineStr">
        <is>
          <t>AI Retrieval</t>
        </is>
      </c>
      <c r="B42" s="70">
        <f>COUNTIF('Actionable Test Bugs'!C:C,A42)</f>
        <v/>
      </c>
      <c r="C42" s="70">
        <f>COUNTIFS('Actionable Test Bugs'!C:C,A42,'Actionable Test Bugs'!G:G,"Critical")</f>
        <v/>
      </c>
      <c r="D42" s="70">
        <f>COUNTIFS('Actionable Test Bugs'!C:C,A42,'Actionable Test Bugs'!G:G,"Major")</f>
        <v/>
      </c>
      <c r="E42" s="70">
        <f>COUNTIFS('Actionable Test Bugs'!C:C,A42,'Actionable Test Bugs'!G:G,"Minor")</f>
        <v/>
      </c>
      <c r="F42" s="70">
        <f>COUNTIFS('Actionable Test Bugs'!C:C,A42,'Actionable Test Bugs'!F:F,"Bug")</f>
        <v/>
      </c>
      <c r="G42" s="70">
        <f>COUNTIFS('Actionable Test Bugs'!C:C,A42,'Actionable Test Bugs'!F:F,"Enhancement")</f>
        <v/>
      </c>
    </row>
    <row r="43">
      <c r="A43" s="70" t="inlineStr">
        <is>
          <t>Status</t>
        </is>
      </c>
      <c r="B43" s="70">
        <f>COUNTIF('Actionable Test Bugs'!C:C,A43)</f>
        <v/>
      </c>
      <c r="C43" s="70">
        <f>COUNTIFS('Actionable Test Bugs'!C:C,A43,'Actionable Test Bugs'!G:G,"Critical")</f>
        <v/>
      </c>
      <c r="D43" s="70">
        <f>COUNTIFS('Actionable Test Bugs'!C:C,A43,'Actionable Test Bugs'!G:G,"Major")</f>
        <v/>
      </c>
      <c r="E43" s="70">
        <f>COUNTIFS('Actionable Test Bugs'!C:C,A43,'Actionable Test Bugs'!G:G,"Minor")</f>
        <v/>
      </c>
      <c r="F43" s="70">
        <f>COUNTIFS('Actionable Test Bugs'!C:C,A43,'Actionable Test Bugs'!F:F,"Bug")</f>
        <v/>
      </c>
      <c r="G43" s="70">
        <f>COUNTIFS('Actionable Test Bugs'!C:C,A43,'Actionable Test Bugs'!F:F,"Enhancement")</f>
        <v/>
      </c>
    </row>
    <row r="44">
      <c r="A44" s="70" t="inlineStr">
        <is>
          <t>User Role</t>
        </is>
      </c>
      <c r="B44" s="70">
        <f>COUNTIF('Actionable Test Bugs'!C:C,A44)</f>
        <v/>
      </c>
      <c r="C44" s="70">
        <f>COUNTIFS('Actionable Test Bugs'!C:C,A44,'Actionable Test Bugs'!G:G,"Critical")</f>
        <v/>
      </c>
      <c r="D44" s="70">
        <f>COUNTIFS('Actionable Test Bugs'!C:C,A44,'Actionable Test Bugs'!G:G,"Major")</f>
        <v/>
      </c>
      <c r="E44" s="70">
        <f>COUNTIFS('Actionable Test Bugs'!C:C,A44,'Actionable Test Bugs'!G:G,"Minor")</f>
        <v/>
      </c>
      <c r="F44" s="70">
        <f>COUNTIFS('Actionable Test Bugs'!C:C,A44,'Actionable Test Bugs'!F:F,"Bug")</f>
        <v/>
      </c>
      <c r="G44" s="70">
        <f>COUNTIFS('Actionable Test Bugs'!C:C,A44,'Actionable Test Bugs'!F:F,"Enhancement")</f>
        <v/>
      </c>
    </row>
    <row r="45">
      <c r="A45" s="71" t="inlineStr">
        <is>
          <t>TOTAL</t>
        </is>
      </c>
      <c r="B45" s="71">
        <f>SUM(B39:B44)</f>
        <v/>
      </c>
      <c r="C45" s="71">
        <f>SUM(C39:C44)</f>
        <v/>
      </c>
      <c r="D45" s="71">
        <f>SUM(D39:D44)</f>
        <v/>
      </c>
      <c r="E45" s="71">
        <f>SUM(E39:E44)</f>
        <v/>
      </c>
      <c r="F45" s="71">
        <f>SUM(F39:F44)</f>
        <v/>
      </c>
      <c r="G45" s="71">
        <f>SUM(G39:G44)</f>
        <v/>
      </c>
    </row>
  </sheetData>
  <mergeCells count="7">
    <mergeCell ref="A17:G17"/>
    <mergeCell ref="A27:G27"/>
    <mergeCell ref="A1:F1"/>
    <mergeCell ref="A34:G34"/>
    <mergeCell ref="A30:G30"/>
    <mergeCell ref="A29:G29"/>
    <mergeCell ref="A33:G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54" min="1" max="2"/>
    <col width="13" customWidth="1" style="54" min="2" max="2"/>
    <col width="28" customWidth="1" style="54" min="3" max="3"/>
    <col width="36" customWidth="1" style="54" min="4" max="4"/>
    <col width="13" customWidth="1" style="54" min="5" max="5"/>
    <col width="28" customWidth="1" style="54" min="6" max="6"/>
    <col width="55" customWidth="1" style="54" min="7" max="7"/>
    <col width="42" customWidth="1" style="54" min="8" max="8"/>
    <col width="37.43" customWidth="1" style="54" min="9" max="9"/>
    <col width="10" customWidth="1" style="54" min="10" max="10"/>
    <col width="30" customWidth="1" style="54" min="11" max="11"/>
    <col width="34.71" customWidth="1" style="54" min="12" max="12"/>
    <col width="30" customWidth="1" style="54" min="13" max="13"/>
    <col width="71.14" customWidth="1" style="54" min="14" max="14"/>
    <col width="13" customWidth="1" style="54" min="15" max="15"/>
    <col width="13" customWidth="1" style="54" min="16" max="16"/>
    <col width="13" customWidth="1" style="54" min="17" max="17"/>
    <col width="13" customWidth="1" style="54" min="18" max="18"/>
    <col width="13" customWidth="1" style="54" min="19" max="19"/>
    <col width="13" customWidth="1" style="54" min="20" max="20"/>
    <col width="13" customWidth="1" style="54" min="21" max="21"/>
    <col width="13" customWidth="1" style="54" min="22" max="22"/>
    <col width="13" customWidth="1" style="54" min="23" max="23"/>
    <col width="13" customWidth="1" style="54" min="24" max="24"/>
    <col width="13" customWidth="1" style="54" min="25" max="25"/>
    <col width="13" customWidth="1" style="54" min="26" max="26"/>
  </cols>
  <sheetData>
    <row r="1" ht="30" customHeight="1" s="54">
      <c r="A1" s="33" t="inlineStr">
        <is>
          <t>TC-ID</t>
        </is>
      </c>
      <c r="B1" s="33" t="inlineStr">
        <is>
          <t>Category</t>
        </is>
      </c>
      <c r="C1" s="33" t="inlineStr">
        <is>
          <t>Feature</t>
        </is>
      </c>
      <c r="D1" s="33" t="inlineStr">
        <is>
          <t>Test Case Title</t>
        </is>
      </c>
      <c r="E1" s="33" t="inlineStr">
        <is>
          <t>Type</t>
        </is>
      </c>
      <c r="F1" s="33" t="inlineStr">
        <is>
          <t>Preconditions</t>
        </is>
      </c>
      <c r="G1" s="33" t="inlineStr">
        <is>
          <t>Test Steps</t>
        </is>
      </c>
      <c r="H1" s="33" t="inlineStr">
        <is>
          <t>Expected Result</t>
        </is>
      </c>
      <c r="I1" s="33" t="inlineStr">
        <is>
          <t>Test Files</t>
        </is>
      </c>
      <c r="J1" s="33" t="inlineStr">
        <is>
          <t>Priority</t>
        </is>
      </c>
      <c r="K1" s="33" t="inlineStr">
        <is>
          <t>Pass Status</t>
        </is>
      </c>
      <c r="L1" s="33" t="inlineStr">
        <is>
          <t>Link</t>
        </is>
      </c>
      <c r="M1" s="33" t="inlineStr">
        <is>
          <t>Notes</t>
        </is>
      </c>
      <c r="N1" s="34" t="inlineStr">
        <is>
          <t>Spec Ref</t>
        </is>
      </c>
      <c r="O1" s="3" t="n"/>
      <c r="P1" s="3" t="n"/>
      <c r="Q1" s="3" t="n"/>
      <c r="R1" s="3" t="n"/>
      <c r="S1" s="3" t="n"/>
      <c r="T1" s="3" t="n"/>
      <c r="U1" s="3" t="n"/>
      <c r="V1" s="3" t="n"/>
      <c r="W1" s="3" t="n"/>
      <c r="X1" s="3" t="n"/>
      <c r="Y1" s="3" t="n"/>
      <c r="Z1" s="3" t="n"/>
    </row>
    <row r="2" ht="60" customHeight="1" s="54">
      <c r="A2" s="35" t="inlineStr">
        <is>
          <t>KT-SUB-001</t>
        </is>
      </c>
      <c r="B2" s="35" t="inlineStr">
        <is>
          <t>Submission</t>
        </is>
      </c>
      <c r="C2" s="41" t="inlineStr">
        <is>
          <t>Submit with valid EN doc</t>
        </is>
      </c>
      <c r="D2" s="41" t="inlineStr">
        <is>
          <t>Submit ringi with valid English document attachment</t>
        </is>
      </c>
      <c r="E2" s="39" t="inlineStr">
        <is>
          <t>Main</t>
        </is>
      </c>
      <c r="F2" s="41" t="inlineStr">
        <is>
          <t>Login as staff@gmail.com</t>
        </is>
      </c>
      <c r="G2" s="41" t="inlineStr">
        <is>
          <t>1. Login staff@gmail.com at https://eb-filemg-development.vercel.app
2. Click 'New Submission' → Category: Purchasing
3. Title: 'Annual Software License Renewal', Priority: High, Dept: Sales
4. Add Item: 'Adobe CC Enterprise License' ×1, $12,500
5. Vendor: 'Adobe Inc.', Payment: 2026-03-15, Bank Transfer
6. Required by: 2026-03-01 09:00
7. Reason: 'Annual renewal of Adobe CC licenses, expires March 31'
8. Purpose: 'Maintain design tool access for Sales marketing'
9. Attach ringi_en_detailed_license_renewal.docx
10. Verify Approval Route → Click 'Create Submission'</t>
        </is>
      </c>
      <c r="H2" s="41" t="inlineStr">
        <is>
          <t>Submission created with 'Pending' status. Title='Annual Software License Renewal', Priority=High, Amount=$12,500. File attached and visible in detail view. Approval route displayed.</t>
        </is>
      </c>
      <c r="I2" s="41" t="inlineStr">
        <is>
          <t>ringi_en_detailed_license_renewal.docx</t>
        </is>
      </c>
      <c r="J2" s="38" t="inlineStr">
        <is>
          <t>P1</t>
        </is>
      </c>
      <c r="K2" s="39" t="inlineStr">
        <is>
          <t>Passed</t>
        </is>
      </c>
      <c r="L2" s="40" t="inlineStr">
        <is>
          <t xml:space="preserve">https://jam.dev/c/c59ad198-fb75-4953-8e4c-279d811bdcc1 </t>
        </is>
      </c>
      <c r="M2" s="41" t="inlineStr">
        <is>
          <t>there is subtle bug: Submitted By
Staff null
---
It would be beneficial if there is Draft
submission status as well</t>
        </is>
      </c>
      <c r="N2" s="41" t="inlineStr">
        <is>
          <t>Spec 6.1 (Submission)
→ "Form fields: Subject, Category (Purchasing, Contracts, Expenses, Misc.), Amount (tax incl./excl.), Tax category, Payment terms, Vendor/Counterparty, Purpose, Period, Budget code, Project, Desired approval date, Applicant/Department."</t>
        </is>
      </c>
      <c r="O2" s="3" t="n"/>
      <c r="P2" s="3" t="n"/>
      <c r="Q2" s="3" t="n"/>
      <c r="R2" s="3" t="n"/>
      <c r="S2" s="3" t="n"/>
      <c r="T2" s="3" t="n"/>
      <c r="U2" s="3" t="n"/>
      <c r="V2" s="3" t="n"/>
      <c r="W2" s="3" t="n"/>
      <c r="X2" s="3" t="n"/>
      <c r="Y2" s="3" t="n"/>
      <c r="Z2" s="3" t="n"/>
    </row>
    <row r="3" ht="60" customHeight="1" s="54">
      <c r="A3" s="35" t="inlineStr">
        <is>
          <t>KT-SUB-002</t>
        </is>
      </c>
      <c r="B3" s="35" t="inlineStr">
        <is>
          <t>Submission</t>
        </is>
      </c>
      <c r="C3" s="41" t="inlineStr">
        <is>
          <t>Submit with valid JP doc</t>
        </is>
      </c>
      <c r="D3" s="41" t="inlineStr">
        <is>
          <t>Submit ringi with valid Japanese document attachment</t>
        </is>
      </c>
      <c r="E3" s="39" t="inlineStr">
        <is>
          <t>Main</t>
        </is>
      </c>
      <c r="F3" s="41" t="inlineStr">
        <is>
          <t>Login as staff@gmail.com</t>
        </is>
      </c>
      <c r="G3" s="41" t="inlineStr">
        <is>
          <t>1. Login staff@gmail.com
2. New Submission → Category: Purchasing
3. Title: 'オフィスチェア購入稟議', Priority: Medium, Dept: 総務部
4. Add Item: 'エルゴノミクスオフィスチェア' ×10, ¥50,000
5. Enable Tax: ON, Rate: 10%
6. Vendor: 'オフィス家具株式会社', Payment: 2026-04-01, Bank Transfer
7. Required by: 2026-03-20 10:00
8. Reason: '総務部用オフィスチェア10脚の購入申請'
9. Purpose: '従業員の作業環境改善'
10. Attach ringi_jp_purchase_chairs.docx → Create Submission</t>
        </is>
      </c>
      <c r="H3" s="41" t="inlineStr">
        <is>
          <t>Submission created with JP content, no garbled text. Status 'Pending'. Tax: ¥500,000 + 10% = ¥550,000. File attached.</t>
        </is>
      </c>
      <c r="I3" s="41" t="inlineStr">
        <is>
          <t>ringi_jp_purchase_chairs.docx</t>
        </is>
      </c>
      <c r="J3" s="38" t="inlineStr">
        <is>
          <t>P1</t>
        </is>
      </c>
      <c r="K3" s="39" t="inlineStr">
        <is>
          <t>Passed</t>
        </is>
      </c>
      <c r="L3" s="42" t="inlineStr">
        <is>
          <t>https://jam.dev/c/e7c5d836-7e67-4e76-82d7-9d8f3957ce0d</t>
        </is>
      </c>
      <c r="M3" s="41" t="inlineStr">
        <is>
          <t>there is subtle bug regarding the tax number in form and also in details</t>
        </is>
      </c>
      <c r="N3" s="41" t="inlineStr">
        <is>
          <t>Spec 6.1 (Submission)
→ "Form fields: Subject, Category (Purchasing, Contracts, Expenses, Misc.), Amount (tax incl./excl.), Tax category, Payment terms, Vendor/Counterparty, Purpose, Period, Budget code, Project, Desired approval date, Applicant/Department."</t>
        </is>
      </c>
      <c r="O3" s="3" t="n"/>
      <c r="P3" s="3" t="n"/>
      <c r="Q3" s="3" t="n"/>
      <c r="R3" s="3" t="n"/>
      <c r="S3" s="3" t="n"/>
      <c r="T3" s="3" t="n"/>
      <c r="U3" s="3" t="n"/>
      <c r="V3" s="3" t="n"/>
      <c r="W3" s="3" t="n"/>
      <c r="X3" s="3" t="n"/>
      <c r="Y3" s="3" t="n"/>
      <c r="Z3" s="3" t="n"/>
    </row>
    <row r="4" ht="60" customHeight="1" s="54">
      <c r="A4" s="35" t="inlineStr">
        <is>
          <t>KT-SUB-003</t>
        </is>
      </c>
      <c r="B4" s="35" t="inlineStr">
        <is>
          <t>Submission</t>
        </is>
      </c>
      <c r="C4" s="41" t="inlineStr">
        <is>
          <t>Submit with all fields + line items</t>
        </is>
      </c>
      <c r="D4" s="41" t="inlineStr">
        <is>
          <t>Submit with all fields filled and multiple line items</t>
        </is>
      </c>
      <c r="E4" s="39" t="inlineStr">
        <is>
          <t>Main</t>
        </is>
      </c>
      <c r="F4" s="41" t="inlineStr">
        <is>
          <t>Login as staff@gmail.com</t>
        </is>
      </c>
      <c r="G4" s="41" t="inlineStr">
        <is>
          <t>1. Login staff@gmail.com
2. New Submission → Category: Purchasing
3. Title: 'Dell 4K Monitor Purchase for Development Team', Priority: Medium, Dept: IT
4. Add Item 1: 'Dell UltraSharp U2723QE 27"' ×5, $750
5. Add Item 2: 'Monitor Stand Arm' ×5, $0
6. Vendor: 'Dell Technologies', Payment: 2026-04-15, Credit Card
7. Required by: 2026-04-01 14:00
8. Reason: 'Purchase 5x 4K monitors for dev team'
9. Purpose: 'Improve developer productivity with high-res displays'
10. Remarks: 'Deliver to Building A, Floor 3'
11. Attach ringi_en_purchase_monitors.docx → Create Submission</t>
        </is>
      </c>
      <c r="H4" s="41" t="inlineStr">
        <is>
          <t>All fields saved. Both line items visible (monitors + stands). Amount=$3,750. Attachment visible and downloadable. Status 'Pending'.</t>
        </is>
      </c>
      <c r="I4" s="41" t="inlineStr">
        <is>
          <t>ringi_en_purchase_monitors.docx</t>
        </is>
      </c>
      <c r="J4" s="38" t="inlineStr">
        <is>
          <t>P1</t>
        </is>
      </c>
      <c r="K4" s="39" t="inlineStr">
        <is>
          <t>Passed</t>
        </is>
      </c>
      <c r="L4" s="43" t="inlineStr">
        <is>
          <t>https://jam.dev/c/e5777a3f-6626-4419-92d8-8884a9ef544d</t>
        </is>
      </c>
      <c r="M4" s="41" t="inlineStr">
        <is>
          <t>there is bug in detail when clicked the filed it show xml file</t>
        </is>
      </c>
      <c r="N4" s="41" t="inlineStr">
        <is>
          <t>Spec 6.1 (Submission)
→ "Form fields: Subject, Category (Purchasing, Contracts, Expenses, Misc.), Amount (tax incl./excl.), Tax category, Payment terms, Vendor/Counterparty, Purpose, Period, Budget code, Project, Desired approval date, Applicant/Department."</t>
        </is>
      </c>
      <c r="O4" s="3" t="n"/>
      <c r="P4" s="3" t="n"/>
      <c r="Q4" s="3" t="n"/>
      <c r="R4" s="3" t="n"/>
      <c r="S4" s="3" t="n"/>
      <c r="T4" s="3" t="n"/>
      <c r="U4" s="3" t="n"/>
      <c r="V4" s="3" t="n"/>
      <c r="W4" s="3" t="n"/>
      <c r="X4" s="3" t="n"/>
      <c r="Y4" s="3" t="n"/>
      <c r="Z4" s="3" t="n"/>
    </row>
    <row r="5" ht="60" customHeight="1" s="54">
      <c r="A5" s="35" t="inlineStr">
        <is>
          <t>KT-SUB-004</t>
        </is>
      </c>
      <c r="B5" s="35" t="inlineStr">
        <is>
          <t>Submission</t>
        </is>
      </c>
      <c r="C5" s="41" t="inlineStr">
        <is>
          <t>Submit minimum fields</t>
        </is>
      </c>
      <c r="D5" s="41" t="inlineStr">
        <is>
          <t>Submit with minimum required fields only</t>
        </is>
      </c>
      <c r="E5" s="44" t="inlineStr">
        <is>
          <t>Basic</t>
        </is>
      </c>
      <c r="F5" s="41" t="inlineStr">
        <is>
          <t>Login as staff@gmail.com</t>
        </is>
      </c>
      <c r="G5" s="41" t="inlineStr">
        <is>
          <t>1. Login staff@gmail.com
2. New Submission → Category: Other
3. Title: 'Minimum Fields Test', Priority: Low, Dept: General
4. No items, no attachment, no remarks
5. Vendor: 'N/A', Payment: 2026-05-01, Cash
6. Required by: 2026-04-30 17:00
7. Reason: 'Testing minimum required fields'
8. Purpose: 'QA Test'
9. Click 'Create Submission'</t>
        </is>
      </c>
      <c r="H5" s="41" t="inlineStr">
        <is>
          <t>Submission created with only required data. No validation errors on optional fields. Status 'Pending' on dashboard.</t>
        </is>
      </c>
      <c r="I5" s="41" t="inlineStr">
        <is>
          <t>(none)</t>
        </is>
      </c>
      <c r="J5" s="45" t="inlineStr">
        <is>
          <t>P2</t>
        </is>
      </c>
      <c r="K5" s="39" t="inlineStr">
        <is>
          <t>Passed</t>
        </is>
      </c>
      <c r="L5" s="40" t="inlineStr">
        <is>
          <t xml:space="preserve">https://jam.dev/c/ca785d03-1021-4e40-987f-54b86a4660ea </t>
        </is>
      </c>
      <c r="M5" s="41" t="n"/>
      <c r="N5" s="41" t="inlineStr">
        <is>
          <t>Spec 6.1 (Submission)
→ "Form fields: Subject, Category (Purchasing, Contracts, Expenses, Misc.), Amount (tax incl./excl.), Tax category, Payment terms, Vendor/Counterparty, Purpose, Period, Budget code, Project, Desired approval date, Applicant/Department."</t>
        </is>
      </c>
      <c r="O5" s="3" t="n"/>
      <c r="P5" s="3" t="n"/>
      <c r="Q5" s="3" t="n"/>
      <c r="R5" s="3" t="n"/>
      <c r="S5" s="3" t="n"/>
      <c r="T5" s="3" t="n"/>
      <c r="U5" s="3" t="n"/>
      <c r="V5" s="3" t="n"/>
      <c r="W5" s="3" t="n"/>
      <c r="X5" s="3" t="n"/>
      <c r="Y5" s="3" t="n"/>
      <c r="Z5" s="3" t="n"/>
    </row>
    <row r="6" ht="60" customHeight="1" s="54">
      <c r="A6" s="35" t="inlineStr">
        <is>
          <t>KT-SUB-005</t>
        </is>
      </c>
      <c r="B6" s="35" t="inlineStr">
        <is>
          <t>Submission</t>
        </is>
      </c>
      <c r="C6" s="41" t="inlineStr">
        <is>
          <t>Submit with Excel attachment</t>
        </is>
      </c>
      <c r="D6" s="41" t="inlineStr">
        <is>
          <t>Submit with Excel spreadsheet ringi attachment</t>
        </is>
      </c>
      <c r="E6" s="44" t="inlineStr">
        <is>
          <t>Basic</t>
        </is>
      </c>
      <c r="F6" s="41" t="inlineStr">
        <is>
          <t>Login as staff@gmail.com</t>
        </is>
      </c>
      <c r="G6" s="41" t="inlineStr">
        <is>
          <t>1. Login staff@gmail.com
2. New Submission → Category: Expense
3. Title: '会計ソフト更新', Priority: Medium, Dept: 経理部
4. Add Item: 'freee会計 年間ライセンス' ×1, ¥600,000
5. Vendor: 'freee株式会社', Payment: 2026-04-01, Bank Transfer
6. Required by: 2026-03-25 10:00
7. Reason: '経理部の会計ソフトfreeeの年間ライセンス更新'
8. Purpose: '経理業務の継続'
9. Attach ringi_jp_spreadsheet_accounting.xlsx → Create Submission</t>
        </is>
      </c>
      <c r="H6" s="41" t="inlineStr">
        <is>
          <t>Excel file (.xlsx) accepted as attachment. Submission created. File downloadable from detail view.</t>
        </is>
      </c>
      <c r="I6" s="41" t="inlineStr">
        <is>
          <t>ringi_jp_spreadsheet_accounting.xlsx</t>
        </is>
      </c>
      <c r="J6" s="45" t="inlineStr">
        <is>
          <t>P2</t>
        </is>
      </c>
      <c r="K6" s="39" t="inlineStr">
        <is>
          <t>Passed</t>
        </is>
      </c>
      <c r="L6" s="46" t="inlineStr">
        <is>
          <t>https://jam.dev/c/5a4cb745-883b-45d7-9be7-dfc259942d1f</t>
        </is>
      </c>
      <c r="M6" s="41" t="n"/>
      <c r="N6" s="41" t="inlineStr">
        <is>
          <t>Spec 6.1 (Submission)
→ "Attachments: Quotes, contracts, and related materials. No tampering allowed after approval (must re-apply as a new version)."</t>
        </is>
      </c>
      <c r="O6" s="3" t="n"/>
      <c r="P6" s="3" t="n"/>
      <c r="Q6" s="3" t="n"/>
      <c r="R6" s="3" t="n"/>
      <c r="S6" s="3" t="n"/>
      <c r="T6" s="3" t="n"/>
      <c r="U6" s="3" t="n"/>
      <c r="V6" s="3" t="n"/>
      <c r="W6" s="3" t="n"/>
      <c r="X6" s="3" t="n"/>
      <c r="Y6" s="3" t="n"/>
      <c r="Z6" s="3" t="n"/>
    </row>
    <row r="7" ht="60" customHeight="1" s="54">
      <c r="A7" s="35" t="inlineStr">
        <is>
          <t>KT-SUB-006</t>
        </is>
      </c>
      <c r="B7" s="35" t="inlineStr">
        <is>
          <t>Submission</t>
        </is>
      </c>
      <c r="C7" s="41" t="inlineStr">
        <is>
          <t>Edit pending submission</t>
        </is>
      </c>
      <c r="D7" s="41" t="inlineStr">
        <is>
          <t>Edit an existing pending submission</t>
        </is>
      </c>
      <c r="E7" s="44" t="inlineStr">
        <is>
          <t>Basic</t>
        </is>
      </c>
      <c r="F7" s="41" t="inlineStr">
        <is>
          <t>Existing pending submission by staff@gmail.com</t>
        </is>
      </c>
      <c r="G7" s="41" t="inlineStr">
        <is>
          <t>1. Login staff@gmail.com
2. Go to dashboard, click pending submission card → detail /approval-requests/[id]
3. Click Edit
4. Change title to 'Updated: [original title]'
5. Change Priority to Critical
6. Save changes</t>
        </is>
      </c>
      <c r="H7" s="41" t="inlineStr">
        <is>
          <t>Edit form loads with pre-filled data. Changes saved. Submission remains 'Pending'. Updated values visible in detail.</t>
        </is>
      </c>
      <c r="I7" s="41" t="inlineStr">
        <is>
          <t>(none)</t>
        </is>
      </c>
      <c r="J7" s="45" t="inlineStr">
        <is>
          <t>P2</t>
        </is>
      </c>
      <c r="K7" s="39" t="inlineStr">
        <is>
          <t>Passed</t>
        </is>
      </c>
      <c r="L7" s="46" t="inlineStr">
        <is>
          <t>https://jam.dev/c/d10f06f9-6592-48b7-bdd6-b8f727a38b55</t>
        </is>
      </c>
      <c r="M7" s="41" t="n"/>
      <c r="N7" s="41" t="inlineStr">
        <is>
          <t>Spec 6.1 (Submission)
→ "Statuses: Draft / Applying / Waiting for Approval (by stage) / Sent Back / Rejected / Approved / Expired."</t>
        </is>
      </c>
      <c r="O7" s="3" t="n"/>
      <c r="P7" s="3" t="n"/>
      <c r="Q7" s="3" t="n"/>
      <c r="R7" s="3" t="n"/>
      <c r="S7" s="3" t="n"/>
      <c r="T7" s="3" t="n"/>
      <c r="U7" s="3" t="n"/>
      <c r="V7" s="3" t="n"/>
      <c r="W7" s="3" t="n"/>
      <c r="X7" s="3" t="n"/>
      <c r="Y7" s="3" t="n"/>
      <c r="Z7" s="3" t="n"/>
    </row>
    <row r="8" ht="60" customHeight="1" s="54">
      <c r="A8" s="35" t="inlineStr">
        <is>
          <t>KT-SUB-007</t>
        </is>
      </c>
      <c r="B8" s="35" t="inlineStr">
        <is>
          <t>Submission</t>
        </is>
      </c>
      <c r="C8" s="41" t="inlineStr">
        <is>
          <t>Submit with image file</t>
        </is>
      </c>
      <c r="D8" s="41" t="inlineStr">
        <is>
          <t>Submit with beach image as attachment (wrong file type)</t>
        </is>
      </c>
      <c r="E8" s="47" t="inlineStr">
        <is>
          <t>Edge Case</t>
        </is>
      </c>
      <c r="F8" s="41" t="inlineStr">
        <is>
          <t>Login as staff@gmail.com</t>
        </is>
      </c>
      <c r="G8" s="41" t="inlineStr">
        <is>
          <t>1. Login staff@gmail.com
2. New Submission → Category: Other
3. Title: 'Edge Case Test - Image Upload', Priority: Low, Dept: QA
4. Vendor: 'Test', Payment: 2026-05-01, Cash
5. Required by: 2026-04-30 17:00
6. Reason: 'Testing image file upload behavior', Purpose: 'QA Edge Case'
7. Attach edge_beach_image.jpg
8. Attempt to submit</t>
        </is>
      </c>
      <c r="H8" s="41" t="inlineStr">
        <is>
          <t>System either rejects image file type with clear message, or accepts gracefully (no crash, no corrupt data).</t>
        </is>
      </c>
      <c r="I8" s="41" t="inlineStr">
        <is>
          <t>edge_beach_image.jpg</t>
        </is>
      </c>
      <c r="J8" s="45" t="inlineStr">
        <is>
          <t>P2</t>
        </is>
      </c>
      <c r="K8" s="39" t="inlineStr">
        <is>
          <t>Passed</t>
        </is>
      </c>
      <c r="L8" s="46" t="inlineStr">
        <is>
          <t>https://jam.dev/c/9809373a-1afa-4a8d-8540-e4836b18b2c5</t>
        </is>
      </c>
      <c r="M8" s="41" t="n"/>
      <c r="N8" s="41" t="inlineStr">
        <is>
          <t>Spec 6.1 (Submission)
→ "Attachments: Quotes, contracts, and related materials. No tampering allowed after approval (must re-apply as a new version)."</t>
        </is>
      </c>
      <c r="O8" s="3" t="n"/>
      <c r="P8" s="3" t="n"/>
      <c r="Q8" s="3" t="n"/>
      <c r="R8" s="3" t="n"/>
      <c r="S8" s="3" t="n"/>
      <c r="T8" s="3" t="n"/>
      <c r="U8" s="3" t="n"/>
      <c r="V8" s="3" t="n"/>
      <c r="W8" s="3" t="n"/>
      <c r="X8" s="3" t="n"/>
      <c r="Y8" s="3" t="n"/>
      <c r="Z8" s="3" t="n"/>
    </row>
    <row r="9" ht="60" customHeight="1" s="54">
      <c r="A9" s="35" t="inlineStr">
        <is>
          <t>KT-SUB-008</t>
        </is>
      </c>
      <c r="B9" s="35" t="inlineStr">
        <is>
          <t>Submission</t>
        </is>
      </c>
      <c r="C9" s="41" t="inlineStr">
        <is>
          <t>Submit with empty PDF</t>
        </is>
      </c>
      <c r="D9" s="41" t="inlineStr">
        <is>
          <t>Submit with empty/blank PDF attachment</t>
        </is>
      </c>
      <c r="E9" s="47" t="inlineStr">
        <is>
          <t>Edge Case</t>
        </is>
      </c>
      <c r="F9" s="41" t="inlineStr">
        <is>
          <t>Login as staff@gmail.com</t>
        </is>
      </c>
      <c r="G9" s="41" t="inlineStr">
        <is>
          <t>1. Login staff@gmail.com
2. New Submission → Category: Other
3. Title: 'Edge Case Test - Empty PDF', Priority: Low, Dept: QA
4. Vendor: 'Test', Payment: 2026-05-01, Cash
5. Required by: 2026-04-30 17:00
6. Reason: 'Testing empty PDF upload behavior', Purpose: 'QA Edge Case'
7. Attach edge_empty_file.pdf (blank PDF)
8. Click 'Create Submission'</t>
        </is>
      </c>
      <c r="H9" s="41" t="inlineStr">
        <is>
          <t>System handles blank PDF without crashing. Either accepts or shows appropriate warning.</t>
        </is>
      </c>
      <c r="I9" s="41" t="inlineStr">
        <is>
          <t>edge_empty_file.pdf</t>
        </is>
      </c>
      <c r="J9" s="48" t="inlineStr">
        <is>
          <t>P3</t>
        </is>
      </c>
      <c r="K9" s="39" t="inlineStr">
        <is>
          <t>Passed</t>
        </is>
      </c>
      <c r="L9" s="43" t="inlineStr">
        <is>
          <t>https://jam.dev/c/22a8a004-c862-44b8-9dbf-5c70b1825501</t>
        </is>
      </c>
      <c r="M9" s="41" t="n"/>
      <c r="N9" s="41" t="inlineStr">
        <is>
          <t>Spec 6.1 (Submission)
→ "Attachments: Quotes, contracts, and related materials. No tampering allowed after approval (must re-apply as a new version)."</t>
        </is>
      </c>
      <c r="O9" s="3" t="n"/>
      <c r="P9" s="3" t="n"/>
      <c r="Q9" s="3" t="n"/>
      <c r="R9" s="3" t="n"/>
      <c r="S9" s="3" t="n"/>
      <c r="T9" s="3" t="n"/>
      <c r="U9" s="3" t="n"/>
      <c r="V9" s="3" t="n"/>
      <c r="W9" s="3" t="n"/>
      <c r="X9" s="3" t="n"/>
      <c r="Y9" s="3" t="n"/>
      <c r="Z9" s="3" t="n"/>
    </row>
    <row r="10" ht="60" customHeight="1" s="54">
      <c r="A10" s="35" t="inlineStr">
        <is>
          <t>KT-SUB-009</t>
        </is>
      </c>
      <c r="B10" s="35" t="inlineStr">
        <is>
          <t>Submission</t>
        </is>
      </c>
      <c r="C10" s="41" t="inlineStr">
        <is>
          <t>Submit with special chars filename</t>
        </is>
      </c>
      <c r="D10" s="41" t="inlineStr">
        <is>
          <t>Submit with Japanese characters in filename</t>
        </is>
      </c>
      <c r="E10" s="47" t="inlineStr">
        <is>
          <t>Edge Case</t>
        </is>
      </c>
      <c r="F10" s="41" t="inlineStr">
        <is>
          <t>Login as staff@gmail.com</t>
        </is>
      </c>
      <c r="G10" s="41" t="inlineStr">
        <is>
          <t>1. Login staff@gmail.com
2. New Submission → Category: Other
3. Title: 'Edge Case Test - Special Characters', Priority: Low, Dept: QA
4. Vendor: 'Test', Payment: 2026-05-01, Cash
5. Required by: 2026-04-30 17:00
6. Reason: 'Testing special character filename handling', Purpose: 'QA Edge Case'
7. Attach edge_special_chars_名前.docx (JP chars in filename)
8. Click 'Create Submission'</t>
        </is>
      </c>
      <c r="H10" s="41" t="inlineStr">
        <is>
          <t>File uploaded. Japanese characters in filename preserved and displayed correctly. Submission created without errors.</t>
        </is>
      </c>
      <c r="I10" s="41" t="inlineStr">
        <is>
          <t>edge_special_chars_名前.docx</t>
        </is>
      </c>
      <c r="J10" s="45" t="inlineStr">
        <is>
          <t>P2</t>
        </is>
      </c>
      <c r="K10" s="39" t="inlineStr">
        <is>
          <t>Failed</t>
        </is>
      </c>
      <c r="L10" s="49" t="inlineStr">
        <is>
          <t>https://jam.dev/c/e9e24876-69bd-4c41-ba8b-0886be4cd867</t>
        </is>
      </c>
      <c r="M10" s="41" t="inlineStr">
        <is>
          <t>error file char name</t>
        </is>
      </c>
      <c r="N10" s="41" t="inlineStr">
        <is>
          <t>Spec 6.1 (Submission)
→ "Attachments: Quotes, contracts, and related materials. No tampering allowed after approval (must re-apply as a new version)."</t>
        </is>
      </c>
      <c r="O10" s="3" t="n"/>
      <c r="P10" s="3" t="n"/>
      <c r="Q10" s="3" t="n"/>
      <c r="R10" s="3" t="n"/>
      <c r="S10" s="3" t="n"/>
      <c r="T10" s="3" t="n"/>
      <c r="U10" s="3" t="n"/>
      <c r="V10" s="3" t="n"/>
      <c r="W10" s="3" t="n"/>
      <c r="X10" s="3" t="n"/>
      <c r="Y10" s="3" t="n"/>
      <c r="Z10" s="3" t="n"/>
    </row>
    <row r="11" ht="60" customHeight="1" s="54">
      <c r="A11" s="35" t="inlineStr">
        <is>
          <t>KT-SUB-010</t>
        </is>
      </c>
      <c r="B11" s="35" t="inlineStr">
        <is>
          <t>Submission</t>
        </is>
      </c>
      <c r="C11" s="41" t="inlineStr">
        <is>
          <t>Submit with very large amount</t>
        </is>
      </c>
      <c r="D11" s="41" t="inlineStr">
        <is>
          <t>Submit with extremely large amount value</t>
        </is>
      </c>
      <c r="E11" s="47" t="inlineStr">
        <is>
          <t>Edge Case</t>
        </is>
      </c>
      <c r="F11" s="41" t="inlineStr">
        <is>
          <t>Login as staff@gmail.com</t>
        </is>
      </c>
      <c r="G11" s="41" t="inlineStr">
        <is>
          <t>1. Login staff@gmail.com
2. New Submission → Category: Other
3. Title: 'Edge Case Test - Large Amount', Priority: Low, Dept: QA
4. Add Item: 'Large Amount Test Item' ×1, $999,999,999,999
5. Vendor: 'Test', Payment: 2026-05-01, Cash
6. Required by: 2026-04-30 17:00
7. Reason: 'Testing large amount handling', Purpose: 'QA Edge Case'
8. Click 'Create Submission'</t>
        </is>
      </c>
      <c r="H11" s="41" t="inlineStr">
        <is>
          <t>System either accepts the large number or shows validation for max amount. No crash or data corruption.</t>
        </is>
      </c>
      <c r="I11" s="41" t="inlineStr">
        <is>
          <t>(none)</t>
        </is>
      </c>
      <c r="J11" s="48" t="inlineStr">
        <is>
          <t>P3</t>
        </is>
      </c>
      <c r="K11" s="39" t="inlineStr">
        <is>
          <t>Failed</t>
        </is>
      </c>
      <c r="L11" s="50" t="inlineStr">
        <is>
          <t>https://jam.dev/c/e7cb4064-6b39-4b65-a1e8-e609eef7f6e5</t>
        </is>
      </c>
      <c r="M11" s="41" t="inlineStr">
        <is>
          <t>number overflow</t>
        </is>
      </c>
      <c r="N11" s="41" t="inlineStr">
        <is>
          <t>Spec 6.1 (Submission)
→ "Form fields: Subject, Category (Purchasing, Contracts, Expenses, Misc.), Amount (tax incl./excl.), Tax category, Payment terms, Vendor/Counterparty, Purpose, Period, Budget code, Project, Desired approval date, Applicant/Department."</t>
        </is>
      </c>
      <c r="O11" s="3" t="n"/>
      <c r="P11" s="3" t="n"/>
      <c r="Q11" s="3" t="n"/>
      <c r="R11" s="3" t="n"/>
      <c r="S11" s="3" t="n"/>
      <c r="T11" s="3" t="n"/>
      <c r="U11" s="3" t="n"/>
      <c r="V11" s="3" t="n"/>
      <c r="W11" s="3" t="n"/>
      <c r="X11" s="3" t="n"/>
      <c r="Y11" s="3" t="n"/>
      <c r="Z11" s="3" t="n"/>
    </row>
    <row r="12" ht="60" customHeight="1" s="54">
      <c r="A12" s="35" t="inlineStr">
        <is>
          <t>KT-APR-001</t>
        </is>
      </c>
      <c r="B12" s="35" t="inlineStr">
        <is>
          <t>Approval</t>
        </is>
      </c>
      <c r="C12" s="41" t="inlineStr">
        <is>
          <t>Manager approves ringi</t>
        </is>
      </c>
      <c r="D12" s="41" t="inlineStr">
        <is>
          <t>Manager approves a pending ringi submission</t>
        </is>
      </c>
      <c r="E12" s="39" t="inlineStr">
        <is>
          <t>Main</t>
        </is>
      </c>
      <c r="F12" s="41" t="inlineStr">
        <is>
          <t>Pending submission exists (submitted by staff)</t>
        </is>
      </c>
      <c r="G12" s="41" t="inlineStr">
        <is>
          <t>1. Login manager@gmail.com at https://eb-filemg-development.vercel.app
2. Find pending ringi card on dashboard
3. Click card → detail /approval-requests/[id]
4. Review Details tab, then Files tab
5. Click green Approve button
6. (Optional) Notes: 'Approved - budget within Q1 allocation'
7. Click Confirm
8. Switch to staff@gmail.com → verify 'Approved' on dashboard</t>
        </is>
      </c>
      <c r="H12" s="41" t="inlineStr">
        <is>
          <t>Status changes to 'Approved'. Recorded with timestamp in Timeline tab. Green CheckCircle icon. Staff sees 'Approved'.</t>
        </is>
      </c>
      <c r="I12" s="41" t="inlineStr">
        <is>
          <t>(none)</t>
        </is>
      </c>
      <c r="J12" s="38" t="inlineStr">
        <is>
          <t>P1</t>
        </is>
      </c>
      <c r="K12" s="39" t="inlineStr">
        <is>
          <t>Failed</t>
        </is>
      </c>
      <c r="L12" s="51" t="inlineStr">
        <is>
          <t>https://jam.dev/c/432754ce-879c-4937-a5a1-f315125385af</t>
        </is>
      </c>
      <c r="M12" s="41" t="inlineStr">
        <is>
          <t>There is glitch of approval with status and then it is empty
(but there is workaround to login as staff first and then logout and then login as manager)</t>
        </is>
      </c>
      <c r="N12" s="41" t="inlineStr">
        <is>
          <t>Spec 6.3 (Approval Operations)
→ "Statuses: Draft / Applying / Waiting for Approval (by stage) / Sent Back / Rejected / Approved / Expired."</t>
        </is>
      </c>
      <c r="O12" s="3" t="n"/>
      <c r="P12" s="3" t="n"/>
      <c r="Q12" s="3" t="n"/>
      <c r="R12" s="3" t="n"/>
      <c r="S12" s="3" t="n"/>
      <c r="T12" s="3" t="n"/>
      <c r="U12" s="3" t="n"/>
      <c r="V12" s="3" t="n"/>
      <c r="W12" s="3" t="n"/>
      <c r="X12" s="3" t="n"/>
      <c r="Y12" s="3" t="n"/>
      <c r="Z12" s="3" t="n"/>
    </row>
    <row r="13" ht="60" customHeight="1" s="54">
      <c r="A13" s="35" t="inlineStr">
        <is>
          <t>KT-APR-002</t>
        </is>
      </c>
      <c r="B13" s="35" t="inlineStr">
        <is>
          <t>Approval</t>
        </is>
      </c>
      <c r="C13" s="41" t="inlineStr">
        <is>
          <t>Manager rejects with reason</t>
        </is>
      </c>
      <c r="D13" s="41" t="inlineStr">
        <is>
          <t>Manager rejects ringi with rejection reason</t>
        </is>
      </c>
      <c r="E13" s="39" t="inlineStr">
        <is>
          <t>Main</t>
        </is>
      </c>
      <c r="F13" s="41" t="inlineStr">
        <is>
          <t>Pending submission exists</t>
        </is>
      </c>
      <c r="G13" s="41" t="inlineStr">
        <is>
          <t>1. Login manager@gmail.com
2. Find pending ringi → detail /approval-requests/[id]
3. Click red Reject button
4. Try submitting without reason → verify validation error
5. Enter: 'Budget exceeded for Q1. Please reduce or defer to Q2.'
6. Click Confirm</t>
        </is>
      </c>
      <c r="H13" s="41" t="inlineStr">
        <is>
          <t>Validation error when no reason. Status → 'Rejected' with XCircle icon. Reason in Timeline tab. Staff sees rejection reason.</t>
        </is>
      </c>
      <c r="I13" s="41" t="inlineStr">
        <is>
          <t>(none)</t>
        </is>
      </c>
      <c r="J13" s="38" t="inlineStr">
        <is>
          <t>P1</t>
        </is>
      </c>
      <c r="K13" s="39" t="inlineStr">
        <is>
          <t>Blocked</t>
        </is>
      </c>
      <c r="L13" s="41" t="inlineStr">
        <is>
          <t>blocked of the KT-APR-001</t>
        </is>
      </c>
      <c r="M13" s="41" t="n"/>
      <c r="N13" s="41" t="inlineStr">
        <is>
          <t>Spec 6.3 (Approval Operations)
→ "Reason comments are mandatory for send-backs and rejections. Difference notes for re-applications."</t>
        </is>
      </c>
      <c r="O13" s="3" t="n"/>
      <c r="P13" s="3" t="n"/>
      <c r="Q13" s="3" t="n"/>
      <c r="R13" s="3" t="n"/>
      <c r="S13" s="3" t="n"/>
      <c r="T13" s="3" t="n"/>
      <c r="U13" s="3" t="n"/>
      <c r="V13" s="3" t="n"/>
      <c r="W13" s="3" t="n"/>
      <c r="X13" s="3" t="n"/>
      <c r="Y13" s="3" t="n"/>
      <c r="Z13" s="3" t="n"/>
    </row>
    <row r="14" ht="60" customHeight="1" s="54">
      <c r="A14" s="35" t="inlineStr">
        <is>
          <t>KT-APR-003</t>
        </is>
      </c>
      <c r="B14" s="35" t="inlineStr">
        <is>
          <t>Approval</t>
        </is>
      </c>
      <c r="C14" s="41" t="inlineStr">
        <is>
          <t>Manager requests revision</t>
        </is>
      </c>
      <c r="D14" s="41" t="inlineStr">
        <is>
          <t>Manager sends back ringi for revision</t>
        </is>
      </c>
      <c r="E14" s="44" t="inlineStr">
        <is>
          <t>Basic</t>
        </is>
      </c>
      <c r="F14" s="41" t="inlineStr">
        <is>
          <t>Pending submission exists</t>
        </is>
      </c>
      <c r="G14" s="41" t="inlineStr">
        <is>
          <t>1. Login manager@gmail.com
2. Open pending ringi detail /approval-requests/[id]
3. Click 'Request Revision' / 'Send Back'
4. Enter: 'Please add detailed cost breakdown and attach vendor quotation.'
5. Click Confirm</t>
        </is>
      </c>
      <c r="H14" s="41" t="inlineStr">
        <is>
          <t>Status → 'Need Revision'. Feedback saved in Timeline tab. Staff sees feedback and edit option.</t>
        </is>
      </c>
      <c r="I14" s="41" t="inlineStr">
        <is>
          <t>(none)</t>
        </is>
      </c>
      <c r="J14" s="45" t="inlineStr">
        <is>
          <t>P2</t>
        </is>
      </c>
      <c r="K14" s="39" t="inlineStr">
        <is>
          <t>Blocked</t>
        </is>
      </c>
      <c r="L14" s="41" t="inlineStr">
        <is>
          <t>blocked of the KT-APR-001</t>
        </is>
      </c>
      <c r="M14" s="41" t="n"/>
      <c r="N14" s="41" t="inlineStr">
        <is>
          <t>Spec 6.3 (Approval Operations)
→ "Reason comments are mandatory for send-backs and rejections. Difference notes for re-applications."</t>
        </is>
      </c>
      <c r="O14" s="3" t="n"/>
      <c r="P14" s="3" t="n"/>
      <c r="Q14" s="3" t="n"/>
      <c r="R14" s="3" t="n"/>
      <c r="S14" s="3" t="n"/>
      <c r="T14" s="3" t="n"/>
      <c r="U14" s="3" t="n"/>
      <c r="V14" s="3" t="n"/>
      <c r="W14" s="3" t="n"/>
      <c r="X14" s="3" t="n"/>
      <c r="Y14" s="3" t="n"/>
      <c r="Z14" s="3" t="n"/>
    </row>
    <row r="15" ht="60" customHeight="1" s="54">
      <c r="A15" s="35" t="inlineStr">
        <is>
          <t>KT-APR-004</t>
        </is>
      </c>
      <c r="B15" s="35" t="inlineStr">
        <is>
          <t>Approval</t>
        </is>
      </c>
      <c r="C15" s="41" t="inlineStr">
        <is>
          <t>Staff re-edits after revision</t>
        </is>
      </c>
      <c r="D15" s="41" t="inlineStr">
        <is>
          <t>Staff edits and resubmits after revision request</t>
        </is>
      </c>
      <c r="E15" s="44" t="inlineStr">
        <is>
          <t>Basic</t>
        </is>
      </c>
      <c r="F15" s="41" t="inlineStr">
        <is>
          <t>Submission with "Need Revision" status</t>
        </is>
      </c>
      <c r="G15" s="41" t="inlineStr">
        <is>
          <t>1. Login staff@gmail.com
2. Find 'Need Revision' submission on dashboard
3. Open detail /approval-requests/[id] → Click Edit
4. Update Reason with cost breakdown, adjust amount/items
5. Click Re-submit / Save</t>
        </is>
      </c>
      <c r="H15" s="41" t="inlineStr">
        <is>
          <t>Edit form loads with pre-filled data. Changes saved. Status returns to 'Pending' for manager re-review.</t>
        </is>
      </c>
      <c r="I15" s="41" t="inlineStr">
        <is>
          <t>(none)</t>
        </is>
      </c>
      <c r="J15" s="45" t="inlineStr">
        <is>
          <t>P2</t>
        </is>
      </c>
      <c r="K15" s="39" t="inlineStr">
        <is>
          <t>Blocked</t>
        </is>
      </c>
      <c r="L15" s="41" t="inlineStr">
        <is>
          <t>blocked of the KT-APR-001</t>
        </is>
      </c>
      <c r="M15" s="41" t="n"/>
      <c r="N15" s="41" t="inlineStr">
        <is>
          <t>Spec 6.3 (Approval Operations)
→ "Reason comments are mandatory for send-backs and rejections. Difference notes for re-applications."</t>
        </is>
      </c>
      <c r="O15" s="3" t="n"/>
      <c r="P15" s="3" t="n"/>
      <c r="Q15" s="3" t="n"/>
      <c r="R15" s="3" t="n"/>
      <c r="S15" s="3" t="n"/>
      <c r="T15" s="3" t="n"/>
      <c r="U15" s="3" t="n"/>
      <c r="V15" s="3" t="n"/>
      <c r="W15" s="3" t="n"/>
      <c r="X15" s="3" t="n"/>
      <c r="Y15" s="3" t="n"/>
      <c r="Z15" s="3" t="n"/>
    </row>
    <row r="16" ht="60" customHeight="1" s="54">
      <c r="A16" s="35" t="inlineStr">
        <is>
          <t>KT-APR-005</t>
        </is>
      </c>
      <c r="B16" s="35" t="inlineStr">
        <is>
          <t>Approval</t>
        </is>
      </c>
      <c r="C16" s="41" t="inlineStr">
        <is>
          <t>Staff blocked from approving</t>
        </is>
      </c>
      <c r="D16" s="41" t="inlineStr">
        <is>
          <t>Staff tries to approve a submission (should be blocked)</t>
        </is>
      </c>
      <c r="E16" s="47" t="inlineStr">
        <is>
          <t>Edge Case</t>
        </is>
      </c>
      <c r="F16" s="41" t="inlineStr">
        <is>
          <t>Pending submission exists</t>
        </is>
      </c>
      <c r="G16" s="41" t="inlineStr">
        <is>
          <t>1. Login staff@gmail.com
2. Open pending submission detail /approval-requests/[id]
3. Inspect ALL action buttons on the page</t>
        </is>
      </c>
      <c r="H16" s="41" t="inlineStr">
        <is>
          <t>No Approve, Reject, or Request Revision buttons visible. Staff can only view details, files, and timeline.</t>
        </is>
      </c>
      <c r="I16" s="41" t="inlineStr">
        <is>
          <t>(none)</t>
        </is>
      </c>
      <c r="J16" s="38" t="inlineStr">
        <is>
          <t>P1</t>
        </is>
      </c>
      <c r="K16" s="39" t="inlineStr">
        <is>
          <t>Passed</t>
        </is>
      </c>
      <c r="L16" s="52" t="inlineStr">
        <is>
          <t>https://jam.dev/c/ee692561-c9db-4fc1-9f6c-a9befb6953f0</t>
        </is>
      </c>
      <c r="M16" s="41" t="n"/>
      <c r="N16" s="41" t="inlineStr">
        <is>
          <t>Spec 6.7 (Permissions &amp; Security)
→ "RBAC: Initiators edit/view their own applications, approvers operate on assigned cases, admins view all and change settings."</t>
        </is>
      </c>
      <c r="O16" s="3" t="n"/>
      <c r="P16" s="3" t="n"/>
      <c r="Q16" s="3" t="n"/>
      <c r="R16" s="3" t="n"/>
      <c r="S16" s="3" t="n"/>
      <c r="T16" s="3" t="n"/>
      <c r="U16" s="3" t="n"/>
      <c r="V16" s="3" t="n"/>
      <c r="W16" s="3" t="n"/>
      <c r="X16" s="3" t="n"/>
      <c r="Y16" s="3" t="n"/>
      <c r="Z16" s="3" t="n"/>
    </row>
    <row r="17" ht="60" customHeight="1" s="54">
      <c r="A17" s="35" t="inlineStr">
        <is>
          <t>KT-APR-006</t>
        </is>
      </c>
      <c r="B17" s="35" t="inlineStr">
        <is>
          <t>Approval</t>
        </is>
      </c>
      <c r="C17" s="41" t="inlineStr">
        <is>
          <t>Double-approve attempt</t>
        </is>
      </c>
      <c r="D17" s="41" t="inlineStr">
        <is>
          <t>Attempt to approve an already-approved ringi</t>
        </is>
      </c>
      <c r="E17" s="47" t="inlineStr">
        <is>
          <t>Edge Case</t>
        </is>
      </c>
      <c r="F17" s="41" t="inlineStr">
        <is>
          <t>Already approved submission</t>
        </is>
      </c>
      <c r="G17" s="41" t="inlineStr">
        <is>
          <t>1. Login manager@gmail.com
2. Open already-approved submission /approval-requests/[id]
3. Check if Approve/Reject buttons are still available</t>
        </is>
      </c>
      <c r="H17" s="41" t="inlineStr">
        <is>
          <t>Approve/Reject buttons NOT available for already-approved submissions. 'Approved' with green CheckCircle. No further actions.</t>
        </is>
      </c>
      <c r="I17" s="41" t="inlineStr">
        <is>
          <t>(none)</t>
        </is>
      </c>
      <c r="J17" s="48" t="inlineStr">
        <is>
          <t>P3</t>
        </is>
      </c>
      <c r="K17" s="39" t="inlineStr">
        <is>
          <t>Blocked</t>
        </is>
      </c>
      <c r="L17" s="41" t="n"/>
      <c r="M17" s="41" t="n"/>
      <c r="N17" s="41" t="inlineStr">
        <is>
          <t>Spec 6.3 (Approval Operations)
→ "Statuses: Draft / Applying / Waiting for Approval (by stage) / Sent Back / Rejected / Approved / Expired."</t>
        </is>
      </c>
      <c r="O17" s="3" t="n"/>
      <c r="P17" s="3" t="n"/>
      <c r="Q17" s="3" t="n"/>
      <c r="R17" s="3" t="n"/>
      <c r="S17" s="3" t="n"/>
      <c r="T17" s="3" t="n"/>
      <c r="U17" s="3" t="n"/>
      <c r="V17" s="3" t="n"/>
      <c r="W17" s="3" t="n"/>
      <c r="X17" s="3" t="n"/>
      <c r="Y17" s="3" t="n"/>
      <c r="Z17" s="3" t="n"/>
    </row>
    <row r="18" ht="60" customHeight="1" s="54">
      <c r="A18" s="35" t="inlineStr">
        <is>
          <t>KT-APR-007</t>
        </is>
      </c>
      <c r="B18" s="35" t="inlineStr">
        <is>
          <t>Approval</t>
        </is>
      </c>
      <c r="C18" s="41" t="inlineStr">
        <is>
          <t>Manager self-approval</t>
        </is>
      </c>
      <c r="D18" s="41" t="inlineStr">
        <is>
          <t>Manager tries to approve own submission</t>
        </is>
      </c>
      <c r="E18" s="47" t="inlineStr">
        <is>
          <t>Edge Case</t>
        </is>
      </c>
      <c r="F18" s="41" t="inlineStr">
        <is>
          <t>Manager has submitted own ringi</t>
        </is>
      </c>
      <c r="G18" s="41" t="inlineStr">
        <is>
          <t>1. Login manager@gmail.com
2. New Submission → Category: Other
3. Title: 'Manager Self-Approval Test', Priority: Low, Dept: Management
4. Vendor: 'Internal', Payment: 2026-05-01, Cash
5. Required by: 2026-04-30 17:00
6. Reason: 'Testing self-approval behavior', Purpose: 'QA Test'
7. After submission, open own submission detail
8. Try to approve own submission</t>
        </is>
      </c>
      <c r="H18" s="41" t="inlineStr">
        <is>
          <t>Document actual behavior: self-approval allowed or blocked? If blocked: clear error. If allowed: processes normally.</t>
        </is>
      </c>
      <c r="I18" s="41" t="inlineStr">
        <is>
          <t>(none)</t>
        </is>
      </c>
      <c r="J18" s="45" t="inlineStr">
        <is>
          <t>P2</t>
        </is>
      </c>
      <c r="K18" s="39" t="inlineStr">
        <is>
          <t>Passed</t>
        </is>
      </c>
      <c r="L18" s="52" t="inlineStr">
        <is>
          <t>https://jam.dev/c/af2dced4-d706-4673-ac8d-6723520dce0f</t>
        </is>
      </c>
      <c r="M18" s="41" t="inlineStr">
        <is>
          <t>Clarify the Requirement</t>
        </is>
      </c>
      <c r="N18" s="41" t="inlineStr">
        <is>
          <t>Spec 6.3 (Approval Operations)
→ "RBAC: Initiators edit/view their own applications, approvers operate on assigned cases, admins view all and change settings."</t>
        </is>
      </c>
      <c r="O18" s="3" t="n"/>
      <c r="P18" s="3" t="n"/>
      <c r="Q18" s="3" t="n"/>
      <c r="R18" s="3" t="n"/>
      <c r="S18" s="3" t="n"/>
      <c r="T18" s="3" t="n"/>
      <c r="U18" s="3" t="n"/>
      <c r="V18" s="3" t="n"/>
      <c r="W18" s="3" t="n"/>
      <c r="X18" s="3" t="n"/>
      <c r="Y18" s="3" t="n"/>
      <c r="Z18" s="3" t="n"/>
    </row>
    <row r="19" ht="60" customHeight="1" s="54">
      <c r="A19" s="35" t="inlineStr">
        <is>
          <t>KT-APR-008</t>
        </is>
      </c>
      <c r="B19" s="35" t="inlineStr">
        <is>
          <t>Approval</t>
        </is>
      </c>
      <c r="C19" s="41" t="inlineStr">
        <is>
          <t>Quick-approve from dashboard</t>
        </is>
      </c>
      <c r="D19" s="41" t="inlineStr">
        <is>
          <t>Manager uses quick-approve action from card</t>
        </is>
      </c>
      <c r="E19" s="44" t="inlineStr">
        <is>
          <t>Basic</t>
        </is>
      </c>
      <c r="F19" s="41" t="inlineStr">
        <is>
          <t>Pending submissions visible on dashboard</t>
        </is>
      </c>
      <c r="G19" s="41" t="inlineStr">
        <is>
          <t>1. Login manager@gmail.com
2. Go to dashboard
3. Find pending ringi card
4. Look for quick-approve action on card itself
5. If available, use quick-approve without opening detail</t>
        </is>
      </c>
      <c r="H19" s="41" t="inlineStr">
        <is>
          <t>Quick-approve action available on cards (if implemented). Approval succeeds from dashboard. Status updates immediately.</t>
        </is>
      </c>
      <c r="I19" s="41" t="inlineStr">
        <is>
          <t>(none)</t>
        </is>
      </c>
      <c r="J19" s="45" t="inlineStr">
        <is>
          <t>P2</t>
        </is>
      </c>
      <c r="K19" s="39" t="inlineStr">
        <is>
          <t>Passed</t>
        </is>
      </c>
      <c r="L19" s="41" t="n"/>
      <c r="M19" s="41" t="n"/>
      <c r="N19" s="41" t="inlineStr">
        <is>
          <t>Spec 6.4 (Chat Integration), Spec 9 (UI/UX)
→ "Approve/send back from chat cards."</t>
        </is>
      </c>
      <c r="O19" s="3" t="n"/>
      <c r="P19" s="3" t="n"/>
      <c r="Q19" s="3" t="n"/>
      <c r="R19" s="3" t="n"/>
      <c r="S19" s="3" t="n"/>
      <c r="T19" s="3" t="n"/>
      <c r="U19" s="3" t="n"/>
      <c r="V19" s="3" t="n"/>
      <c r="W19" s="3" t="n"/>
      <c r="X19" s="3" t="n"/>
      <c r="Y19" s="3" t="n"/>
      <c r="Z19" s="3" t="n"/>
    </row>
    <row r="20" ht="60" customHeight="1" s="54">
      <c r="A20" s="35" t="inlineStr">
        <is>
          <t>KT-AIC-001</t>
        </is>
      </c>
      <c r="B20" s="35" t="inlineStr">
        <is>
          <t>AI Chat</t>
        </is>
      </c>
      <c r="C20" s="41" t="inlineStr">
        <is>
          <t>Create ringi via AI (EN)</t>
        </is>
      </c>
      <c r="D20" s="41" t="inlineStr">
        <is>
          <t>Ask AI to create ringi from natural language in English</t>
        </is>
      </c>
      <c r="E20" s="39" t="inlineStr">
        <is>
          <t>Main</t>
        </is>
      </c>
      <c r="F20" s="41" t="inlineStr">
        <is>
          <t>Login as staff@gmail.com</t>
        </is>
      </c>
      <c r="G20" s="41" t="inlineStr">
        <is>
          <t>1. Login staff@gmail.com
2. Go to https://eb-filemg-development.vercel.app/ (new chat)
3. Type: "Create a ringi for purchasing 10 office laptops, total cost $15,000"
4. Send and wait for AI response</t>
        </is>
      </c>
      <c r="H20" s="41" t="inlineStr">
        <is>
          <t>AI generates ringi draft with title, description, amount ($15,000). Response in English. Chat thread created (/c/[threadId]).</t>
        </is>
      </c>
      <c r="I20" s="41" t="inlineStr">
        <is>
          <t>(none)</t>
        </is>
      </c>
      <c r="J20" s="38" t="inlineStr">
        <is>
          <t>P1</t>
        </is>
      </c>
      <c r="K20" s="39" t="inlineStr">
        <is>
          <t>Partial Pass</t>
        </is>
      </c>
      <c r="L20" s="52" t="inlineStr">
        <is>
          <t>https://jam.dev/c/3ff23937-7197-4d13-9381-65ef837e3113</t>
        </is>
      </c>
      <c r="M20" s="41" t="inlineStr">
        <is>
          <t>AI generate pending, but not Draft
it lead to user cannot edit the ringi
when use try to edit the ringi, it got bugs</t>
        </is>
      </c>
      <c r="N20" s="41" t="inlineStr">
        <is>
          <t>Spec 5 (Business Flow), Spec 6.1, Spec 6.4
→ "Initiator opens the Ringi initiation form via chat, enters required items and attachments, and submits."</t>
        </is>
      </c>
      <c r="O20" s="3" t="n"/>
      <c r="P20" s="3" t="n"/>
      <c r="Q20" s="3" t="n"/>
      <c r="R20" s="3" t="n"/>
      <c r="S20" s="3" t="n"/>
      <c r="T20" s="3" t="n"/>
      <c r="U20" s="3" t="n"/>
      <c r="V20" s="3" t="n"/>
      <c r="W20" s="3" t="n"/>
      <c r="X20" s="3" t="n"/>
      <c r="Y20" s="3" t="n"/>
      <c r="Z20" s="3" t="n"/>
    </row>
    <row r="21" ht="60" customHeight="1" s="54">
      <c r="A21" s="35" t="inlineStr">
        <is>
          <t>KT-AIC-002</t>
        </is>
      </c>
      <c r="B21" s="35" t="inlineStr">
        <is>
          <t>AI Chat</t>
        </is>
      </c>
      <c r="C21" s="41" t="inlineStr">
        <is>
          <t>Create ringi via AI (JP)</t>
        </is>
      </c>
      <c r="D21" s="41" t="inlineStr">
        <is>
          <t>Ask AI to create ringi from natural language in Japanese</t>
        </is>
      </c>
      <c r="E21" s="39" t="inlineStr">
        <is>
          <t>Main</t>
        </is>
      </c>
      <c r="F21" s="41" t="inlineStr">
        <is>
          <t>Login as staff@gmail.com</t>
        </is>
      </c>
      <c r="G21" s="41" t="inlineStr">
        <is>
          <t>1. Login staff@gmail.com
2. Go to new chat at /
3. Type: "ノートPC10台購入の稟議書を作成してください。合計金額150万円"
4. Send and wait for AI response</t>
        </is>
      </c>
      <c r="H21" s="41" t="inlineStr">
        <is>
          <t>AI generates ringi draft in Japanese with appropriate title and amount (¥1,500,000 / 150万円).</t>
        </is>
      </c>
      <c r="I21" s="41" t="inlineStr">
        <is>
          <t>(none)</t>
        </is>
      </c>
      <c r="J21" s="38" t="inlineStr">
        <is>
          <t>P1</t>
        </is>
      </c>
      <c r="K21" s="39" t="inlineStr">
        <is>
          <t>Partial Pass</t>
        </is>
      </c>
      <c r="L21" s="49" t="inlineStr">
        <is>
          <t>https://jam.dev/c/37d7d204-3527-4e40-aad0-e51fab33d42a</t>
        </is>
      </c>
      <c r="M21" s="41" t="inlineStr">
        <is>
          <t>AI generate pending, but not Draft
it lead to user cannot edit the ringi
it got asking again and again same things</t>
        </is>
      </c>
      <c r="N21" s="41" t="inlineStr">
        <is>
          <t>Spec 5 (Business Flow), Spec 6.1, Spec 6.4
→ "Initiator opens the Ringi initiation form via chat, enters required items and attachments, and submits."</t>
        </is>
      </c>
      <c r="O21" s="3" t="n"/>
      <c r="P21" s="3" t="n"/>
      <c r="Q21" s="3" t="n"/>
      <c r="R21" s="3" t="n"/>
      <c r="S21" s="3" t="n"/>
      <c r="T21" s="3" t="n"/>
      <c r="U21" s="3" t="n"/>
      <c r="V21" s="3" t="n"/>
      <c r="W21" s="3" t="n"/>
      <c r="X21" s="3" t="n"/>
      <c r="Y21" s="3" t="n"/>
      <c r="Z21" s="3" t="n"/>
    </row>
    <row r="22" ht="60" customHeight="1" s="54">
      <c r="A22" s="35" t="inlineStr">
        <is>
          <t>KT-AIC-003</t>
        </is>
      </c>
      <c r="B22" s="35" t="inlineStr">
        <is>
          <t>AI Chat</t>
        </is>
      </c>
      <c r="C22" s="41" t="inlineStr">
        <is>
          <t>Upload doc + AI summarize</t>
        </is>
      </c>
      <c r="D22" s="41" t="inlineStr">
        <is>
          <t>Upload ringi doc and ask AI to summarize</t>
        </is>
      </c>
      <c r="E22" s="44" t="inlineStr">
        <is>
          <t>Basic</t>
        </is>
      </c>
      <c r="F22" s="41" t="inlineStr">
        <is>
          <t>Login as staff@gmail.com</t>
        </is>
      </c>
      <c r="G22" s="41" t="inlineStr">
        <is>
          <t>1. Login staff@gmail.com
2. Go to new chat at /
3. Click paperclip → select ringi_en_detailed_license_renewal.docx
4. Verify file appears as attachment preview
5. Type: "Please summarize this ringi document"
6. Send and wait for response</t>
        </is>
      </c>
      <c r="H22" s="41" t="inlineStr">
        <is>
          <t>AI processes document. Summary mentions Adobe CC / license renewal, $12,500, Sales dept or Hanako Suzuki. Accurate to content.</t>
        </is>
      </c>
      <c r="I22" s="41" t="inlineStr">
        <is>
          <t>ringi_en_detailed_license_renewal.docx</t>
        </is>
      </c>
      <c r="J22" s="38" t="inlineStr">
        <is>
          <t>P1</t>
        </is>
      </c>
      <c r="K22" s="39" t="inlineStr">
        <is>
          <t>Passed</t>
        </is>
      </c>
      <c r="L22" s="52" t="inlineStr">
        <is>
          <t>https://jam.dev/c/d1706ed5-abf0-4a53-b19d-a1368e703521</t>
        </is>
      </c>
      <c r="M22" s="41" t="n"/>
      <c r="N22" s="41" t="inlineStr">
        <is>
          <t>Spec 6.1, Spec 6.4 (Chat Integration)
→ "Contextual input assistance: Summarize chat messages to suggest initial form values."</t>
        </is>
      </c>
      <c r="O22" s="3" t="n"/>
      <c r="P22" s="3" t="n"/>
      <c r="Q22" s="3" t="n"/>
      <c r="R22" s="3" t="n"/>
      <c r="S22" s="3" t="n"/>
      <c r="T22" s="3" t="n"/>
      <c r="U22" s="3" t="n"/>
      <c r="V22" s="3" t="n"/>
      <c r="W22" s="3" t="n"/>
      <c r="X22" s="3" t="n"/>
      <c r="Y22" s="3" t="n"/>
      <c r="Z22" s="3" t="n"/>
    </row>
    <row r="23" ht="60" customHeight="1" s="54">
      <c r="A23" s="35" t="inlineStr">
        <is>
          <t>KT-AIC-004</t>
        </is>
      </c>
      <c r="B23" s="35" t="inlineStr">
        <is>
          <t>AI Chat</t>
        </is>
      </c>
      <c r="C23" s="41" t="inlineStr">
        <is>
          <t>Ask about doc in Japanese</t>
        </is>
      </c>
      <c r="D23" s="41" t="inlineStr">
        <is>
          <t>Ask AI about uploaded document in Japanese</t>
        </is>
      </c>
      <c r="E23" s="44" t="inlineStr">
        <is>
          <t>Basic</t>
        </is>
      </c>
      <c r="F23" s="41" t="inlineStr">
        <is>
          <t>Login as staff@gmail.com</t>
        </is>
      </c>
      <c r="G23" s="41" t="inlineStr">
        <is>
          <t>1. Login staff@gmail.com
2. Go to new chat at /
3. Click paperclip → select ringi_jp_standard_salesforce.docx
4. Type: "この稟議書の内容を教えてください"
5. Send and review response</t>
        </is>
      </c>
      <c r="H23" s="41" t="inlineStr">
        <is>
          <t>AI responds in Japanese. Summary mentions Salesforce / 営業支援ツール, ¥4,100,000, 営業部 or 鈴木花子.</t>
        </is>
      </c>
      <c r="I23" s="41" t="inlineStr">
        <is>
          <t>ringi_jp_standard_salesforce.docx</t>
        </is>
      </c>
      <c r="J23" s="45" t="inlineStr">
        <is>
          <t>P2</t>
        </is>
      </c>
      <c r="K23" s="39" t="inlineStr">
        <is>
          <t>Passed</t>
        </is>
      </c>
      <c r="L23" s="51" t="inlineStr">
        <is>
          <t>https://jam.dev/c/40723d7b-aae3-47e5-81e3-d83304091945</t>
        </is>
      </c>
      <c r="M23" s="41" t="inlineStr">
        <is>
          <t>there is UI glitch, also the loader is not appeared</t>
        </is>
      </c>
      <c r="N23" s="41" t="inlineStr">
        <is>
          <t>Spec 6.1, Spec 6.4 (Chat Integration)
→ "Contextual input assistance: Summarize chat messages to suggest initial form values."</t>
        </is>
      </c>
      <c r="O23" s="3" t="n"/>
      <c r="P23" s="3" t="n"/>
      <c r="Q23" s="3" t="n"/>
      <c r="R23" s="3" t="n"/>
      <c r="S23" s="3" t="n"/>
      <c r="T23" s="3" t="n"/>
      <c r="U23" s="3" t="n"/>
      <c r="V23" s="3" t="n"/>
      <c r="W23" s="3" t="n"/>
      <c r="X23" s="3" t="n"/>
      <c r="Y23" s="3" t="n"/>
      <c r="Z23" s="3" t="n"/>
    </row>
    <row r="24" ht="60" customHeight="1" s="54">
      <c r="A24" s="35" t="inlineStr">
        <is>
          <t>KT-AIC-005</t>
        </is>
      </c>
      <c r="B24" s="35" t="inlineStr">
        <is>
          <t>AI Chat</t>
        </is>
      </c>
      <c r="C24" s="41" t="inlineStr">
        <is>
          <t>Upload image for ringi</t>
        </is>
      </c>
      <c r="D24" s="41" t="inlineStr">
        <is>
          <t>Upload beach image and ask AI to create ringi from it</t>
        </is>
      </c>
      <c r="E24" s="47" t="inlineStr">
        <is>
          <t>Edge Case</t>
        </is>
      </c>
      <c r="F24" s="41" t="inlineStr">
        <is>
          <t>Login as staff@gmail.com</t>
        </is>
      </c>
      <c r="G24" s="41" t="inlineStr">
        <is>
          <t>1. Login staff@gmail.com
2. Go to new chat at /
3. Click paperclip → select edge_beach_image.jpg (beach photo)
4. Type: "Create a ringi from this document"
5. Send and review response</t>
        </is>
      </c>
      <c r="H24" s="41" t="inlineStr">
        <is>
          <t>AI does not crash. Indicates file is not a valid ringi document or cannot extract info from image. Graceful response.</t>
        </is>
      </c>
      <c r="I24" s="41" t="inlineStr">
        <is>
          <t>edge_beach_image.jpg</t>
        </is>
      </c>
      <c r="J24" s="45" t="inlineStr">
        <is>
          <t>P2</t>
        </is>
      </c>
      <c r="K24" s="39" t="inlineStr">
        <is>
          <t>Passed</t>
        </is>
      </c>
      <c r="L24" s="52" t="inlineStr">
        <is>
          <t>https://jam.dev/c/f573209c-c362-421e-8cb7-e5367245fd4a</t>
        </is>
      </c>
      <c r="M24" s="41" t="n"/>
      <c r="N24" s="41" t="inlineStr">
        <is>
          <t>Spec 6.1, Spec 6.4 (Chat Integration)
→ "Attachments: Quotes, contracts, and related materials. No tampering allowed after approval (must re-apply as a new version)."</t>
        </is>
      </c>
      <c r="O24" s="3" t="n"/>
      <c r="P24" s="3" t="n"/>
      <c r="Q24" s="3" t="n"/>
      <c r="R24" s="3" t="n"/>
      <c r="S24" s="3" t="n"/>
      <c r="T24" s="3" t="n"/>
      <c r="U24" s="3" t="n"/>
      <c r="V24" s="3" t="n"/>
      <c r="W24" s="3" t="n"/>
      <c r="X24" s="3" t="n"/>
      <c r="Y24" s="3" t="n"/>
      <c r="Z24" s="3" t="n"/>
    </row>
    <row r="25" ht="60" customHeight="1" s="54">
      <c r="A25" s="35" t="inlineStr">
        <is>
          <t>KT-AIC-006</t>
        </is>
      </c>
      <c r="B25" s="35" t="inlineStr">
        <is>
          <t>AI Chat</t>
        </is>
      </c>
      <c r="C25" s="41" t="inlineStr">
        <is>
          <t>Gibberish/unrelated question</t>
        </is>
      </c>
      <c r="D25" s="41" t="inlineStr">
        <is>
          <t>Ask AI gibberish or unrelated question</t>
        </is>
      </c>
      <c r="E25" s="47" t="inlineStr">
        <is>
          <t>Edge Case</t>
        </is>
      </c>
      <c r="F25" s="41" t="inlineStr">
        <is>
          <t>Login as staff@gmail.com</t>
        </is>
      </c>
      <c r="G25" s="41" t="inlineStr">
        <is>
          <t>1. Login staff@gmail.com
2. Go to new chat at /
3. Type: "asdfghjkl what is the weather today?"
4. Send and review response</t>
        </is>
      </c>
      <c r="H25" s="41" t="inlineStr">
        <is>
          <t>AI responds without crashing. Redirects to ringi-related help or provides polite response about scope.</t>
        </is>
      </c>
      <c r="I25" s="41" t="inlineStr">
        <is>
          <t>(none)</t>
        </is>
      </c>
      <c r="J25" s="48" t="inlineStr">
        <is>
          <t>P3</t>
        </is>
      </c>
      <c r="K25" s="39" t="inlineStr">
        <is>
          <t>Passed</t>
        </is>
      </c>
      <c r="L25" s="52" t="inlineStr">
        <is>
          <t>https://jam.dev/c/aea773c3-1e12-4378-9647-a6ae532b19d8</t>
        </is>
      </c>
      <c r="M25" s="41" t="n"/>
      <c r="N25" s="41" t="inlineStr">
        <is>
          <t>Spec 6.4 (Chat Integration)
→ "Contextual input assistance: Summarize chat messages to suggest initial form values."</t>
        </is>
      </c>
      <c r="O25" s="3" t="n"/>
      <c r="P25" s="3" t="n"/>
      <c r="Q25" s="3" t="n"/>
      <c r="R25" s="3" t="n"/>
      <c r="S25" s="3" t="n"/>
      <c r="T25" s="3" t="n"/>
      <c r="U25" s="3" t="n"/>
      <c r="V25" s="3" t="n"/>
      <c r="W25" s="3" t="n"/>
      <c r="X25" s="3" t="n"/>
      <c r="Y25" s="3" t="n"/>
      <c r="Z25" s="3" t="n"/>
    </row>
    <row r="26" ht="60" customHeight="1" s="54">
      <c r="A26" s="35" t="inlineStr">
        <is>
          <t>KT-AIC-007</t>
        </is>
      </c>
      <c r="B26" s="35" t="inlineStr">
        <is>
          <t>AI Chat</t>
        </is>
      </c>
      <c r="C26" s="41" t="inlineStr">
        <is>
          <t>Non-ringi doc for submission</t>
        </is>
      </c>
      <c r="D26" s="41" t="inlineStr">
        <is>
          <t>Upload non-ringi document and ask to create submission</t>
        </is>
      </c>
      <c r="E26" s="47" t="inlineStr">
        <is>
          <t>Edge Case</t>
        </is>
      </c>
      <c r="F26" s="41" t="inlineStr">
        <is>
          <t>Login as staff@gmail.com</t>
        </is>
      </c>
      <c r="G26" s="41" t="inlineStr">
        <is>
          <t>1. Login staff@gmail.com
2. Go to new chat at /
3. Click paperclip → select edge_large_file.pdf (non-ringi content)
4. Type: "Create a ringi submission from this"
5. Send and review response</t>
        </is>
      </c>
      <c r="H26" s="41" t="inlineStr">
        <is>
          <t>AI processes document. Either extracts whatever info possible or indicates no ringi data. Graceful response.</t>
        </is>
      </c>
      <c r="I26" s="41" t="inlineStr">
        <is>
          <t>edge_large_file.pdf</t>
        </is>
      </c>
      <c r="J26" s="45" t="inlineStr">
        <is>
          <t>P2</t>
        </is>
      </c>
      <c r="K26" s="39" t="inlineStr">
        <is>
          <t>Passed</t>
        </is>
      </c>
      <c r="L26" s="52" t="inlineStr">
        <is>
          <t>https://jam.dev/c/fa7689ce-95ec-4753-9c3c-7150f4b6a62a</t>
        </is>
      </c>
      <c r="M26" s="41" t="n"/>
      <c r="N26" s="41" t="inlineStr">
        <is>
          <t>Spec 6.1, Spec 6.4 (Chat Integration)
→ "Contextual input assistance: Summarize chat messages to suggest initial form values."</t>
        </is>
      </c>
      <c r="O26" s="3" t="n"/>
      <c r="P26" s="3" t="n"/>
      <c r="Q26" s="3" t="n"/>
      <c r="R26" s="3" t="n"/>
      <c r="S26" s="3" t="n"/>
      <c r="T26" s="3" t="n"/>
      <c r="U26" s="3" t="n"/>
      <c r="V26" s="3" t="n"/>
      <c r="W26" s="3" t="n"/>
      <c r="X26" s="3" t="n"/>
      <c r="Y26" s="3" t="n"/>
      <c r="Z26" s="3" t="n"/>
    </row>
    <row r="27" ht="60" customHeight="1" s="54">
      <c r="A27" s="35" t="inlineStr">
        <is>
          <t>KT-AIC-008</t>
        </is>
      </c>
      <c r="B27" s="35" t="inlineStr">
        <is>
          <t>AI Chat</t>
        </is>
      </c>
      <c r="C27" s="41" t="inlineStr">
        <is>
          <t>Multi-turn conversation</t>
        </is>
      </c>
      <c r="D27" s="41" t="inlineStr">
        <is>
          <t>Multi-turn conversation to build ringi incrementally</t>
        </is>
      </c>
      <c r="E27" s="44" t="inlineStr">
        <is>
          <t>Basic</t>
        </is>
      </c>
      <c r="F27" s="41" t="inlineStr">
        <is>
          <t>Login as staff@gmail.com</t>
        </is>
      </c>
      <c r="G27" s="41" t="inlineStr">
        <is>
          <t>1. Login staff@gmail.com
2. Go to new chat at /
3. Msg 1: "I need to create a ringi for purchasing new office furniture"
4. Wait for response
5. Msg 2: "The budget is $8,000 for 10 standing desks from IKEA"
6. Wait for response
7. Msg 3: "Please finalize with department 'Operations' and requestor 'John Smith'"
8. Review final output</t>
        </is>
      </c>
      <c r="H27" s="41" t="inlineStr">
        <is>
          <t>AI maintains context across 3 turns. Final ringi: furniture, $8,000, 10 standing desks, IKEA, Operations, John Smith. Same thread URL.</t>
        </is>
      </c>
      <c r="I27" s="41" t="inlineStr">
        <is>
          <t>(none)</t>
        </is>
      </c>
      <c r="J27" s="45" t="inlineStr">
        <is>
          <t>P2</t>
        </is>
      </c>
      <c r="K27" s="39" t="inlineStr">
        <is>
          <t>Partial Pass</t>
        </is>
      </c>
      <c r="L27" s="52" t="inlineStr">
        <is>
          <t>https://jam.dev/c/3517856c-1367-41bc-af8b-43a0a096d508</t>
        </is>
      </c>
      <c r="M27" s="41" t="inlineStr">
        <is>
          <t>should comply with minimum required fields</t>
        </is>
      </c>
      <c r="N27" s="41" t="inlineStr">
        <is>
          <t>Spec 5 (Business Flow), Spec 6.4
→ "Initiator opens the Ringi initiation form via chat, enters required items and attachments, and submits."</t>
        </is>
      </c>
      <c r="O27" s="3" t="n"/>
      <c r="P27" s="3" t="n"/>
      <c r="Q27" s="3" t="n"/>
      <c r="R27" s="3" t="n"/>
      <c r="S27" s="3" t="n"/>
      <c r="T27" s="3" t="n"/>
      <c r="U27" s="3" t="n"/>
      <c r="V27" s="3" t="n"/>
      <c r="W27" s="3" t="n"/>
      <c r="X27" s="3" t="n"/>
      <c r="Y27" s="3" t="n"/>
      <c r="Z27" s="3" t="n"/>
    </row>
    <row r="28" ht="60" customHeight="1" s="54">
      <c r="A28" s="35" t="inlineStr">
        <is>
          <t>KT-AIR-001</t>
        </is>
      </c>
      <c r="B28" s="35" t="inlineStr">
        <is>
          <t>AI Retrieval</t>
        </is>
      </c>
      <c r="C28" s="41" t="inlineStr">
        <is>
          <t>Ask submission status (EN)</t>
        </is>
      </c>
      <c r="D28" s="41" t="inlineStr">
        <is>
          <t>Ask AI for status of specific submission in English</t>
        </is>
      </c>
      <c r="E28" s="39" t="inlineStr">
        <is>
          <t>Main</t>
        </is>
      </c>
      <c r="F28" s="41" t="inlineStr">
        <is>
          <t>Staff has existing submissions</t>
        </is>
      </c>
      <c r="G28" s="41" t="inlineStr">
        <is>
          <t>1. Login staff@gmail.com (has existing submissions)
2. Note title of existing submission (e.g., 'Annual Software License Renewal')
3. Go to new chat at /
4. Type: "What is the status of 'Annual Software License Renewal'?"
5. Send and review response</t>
        </is>
      </c>
      <c r="H28" s="41" t="inlineStr">
        <is>
          <t>AI retrieves correct submission. Reports current status (Pending/Approved/etc.). Info matches dashboard. SearchResultsCard may display.</t>
        </is>
      </c>
      <c r="I28" s="41" t="inlineStr">
        <is>
          <t>(none)</t>
        </is>
      </c>
      <c r="J28" s="38" t="inlineStr">
        <is>
          <t>P1</t>
        </is>
      </c>
      <c r="K28" s="39" t="inlineStr">
        <is>
          <t>Partial Pass</t>
        </is>
      </c>
      <c r="L28" s="52" t="inlineStr">
        <is>
          <t>https://jam.dev/c/6dfb78f5-bb0d-4d70-a03a-929b74ae0e49</t>
        </is>
      </c>
      <c r="M28" s="41" t="inlineStr">
        <is>
          <t>it show the correct summary, yet files shown pending submssion are too manies</t>
        </is>
      </c>
      <c r="N28" s="41" t="inlineStr">
        <is>
          <t>Spec 6.5 (Search &amp; Reference)
→ "Search/filter by Ringi ID, subject, applicant, department, amount range, status, and period."</t>
        </is>
      </c>
      <c r="O28" s="3" t="n"/>
      <c r="P28" s="3" t="n"/>
      <c r="Q28" s="3" t="n"/>
      <c r="R28" s="3" t="n"/>
      <c r="S28" s="3" t="n"/>
      <c r="T28" s="3" t="n"/>
      <c r="U28" s="3" t="n"/>
      <c r="V28" s="3" t="n"/>
      <c r="W28" s="3" t="n"/>
      <c r="X28" s="3" t="n"/>
      <c r="Y28" s="3" t="n"/>
      <c r="Z28" s="3" t="n"/>
    </row>
    <row r="29" ht="60" customHeight="1" s="54">
      <c r="A29" s="35" t="inlineStr">
        <is>
          <t>KT-AIR-002</t>
        </is>
      </c>
      <c r="B29" s="35" t="inlineStr">
        <is>
          <t>AI Retrieval</t>
        </is>
      </c>
      <c r="C29" s="41" t="inlineStr">
        <is>
          <t>Find document by name</t>
        </is>
      </c>
      <c r="D29" s="41" t="inlineStr">
        <is>
          <t>Ask AI to find/retrieve a specific document by name</t>
        </is>
      </c>
      <c r="E29" s="39" t="inlineStr">
        <is>
          <t>Main</t>
        </is>
      </c>
      <c r="F29" s="41" t="inlineStr">
        <is>
          <t>Documents exist in system</t>
        </is>
      </c>
      <c r="G29" s="41" t="inlineStr">
        <is>
          <t>1. Login staff@gmail.com
2. Go to new chat at /
3. Type: "Find the document called 'Dell 4K Monitor Purchase for Development Team'"
4. Send and review response</t>
        </is>
      </c>
      <c r="H29" s="41" t="inlineStr">
        <is>
          <t>AI locates submission. Provides status, date, amount info. SearchResultsCard with file card(s) and Open/Share buttons.</t>
        </is>
      </c>
      <c r="I29" s="41" t="inlineStr">
        <is>
          <t>(none)</t>
        </is>
      </c>
      <c r="J29" s="38" t="inlineStr">
        <is>
          <t>P1</t>
        </is>
      </c>
      <c r="K29" s="39" t="inlineStr">
        <is>
          <t>Failed</t>
        </is>
      </c>
      <c r="L29" s="52" t="inlineStr">
        <is>
          <t>https://jam.dev/c/07e3abd6-675a-4cbd-b172-39321f9f55ec</t>
        </is>
      </c>
      <c r="M29" s="41" t="inlineStr">
        <is>
          <t>search about monitor yet not shown</t>
        </is>
      </c>
      <c r="N29" s="41" t="inlineStr">
        <is>
          <t>Spec 6.5 (Search &amp; Reference)
→ "Search/filter by Ringi ID, subject, applicant, department, amount range, status, and period."</t>
        </is>
      </c>
      <c r="O29" s="3" t="n"/>
      <c r="P29" s="3" t="n"/>
      <c r="Q29" s="3" t="n"/>
      <c r="R29" s="3" t="n"/>
      <c r="S29" s="3" t="n"/>
      <c r="T29" s="3" t="n"/>
      <c r="U29" s="3" t="n"/>
      <c r="V29" s="3" t="n"/>
      <c r="W29" s="3" t="n"/>
      <c r="X29" s="3" t="n"/>
      <c r="Y29" s="3" t="n"/>
      <c r="Z29" s="3" t="n"/>
    </row>
    <row r="30" ht="60" customHeight="1" s="54">
      <c r="A30" s="35" t="inlineStr">
        <is>
          <t>KT-AIR-003</t>
        </is>
      </c>
      <c r="B30" s="35" t="inlineStr">
        <is>
          <t>AI Retrieval</t>
        </is>
      </c>
      <c r="C30" s="41" t="inlineStr">
        <is>
          <t>Review submission status</t>
        </is>
      </c>
      <c r="D30" s="41" t="inlineStr">
        <is>
          <t>Ask AI to review and check submission status</t>
        </is>
      </c>
      <c r="E30" s="44" t="inlineStr">
        <is>
          <t>Basic</t>
        </is>
      </c>
      <c r="F30" s="41" t="inlineStr">
        <is>
          <t>Staff has submissions</t>
        </is>
      </c>
      <c r="G30" s="41" t="inlineStr">
        <is>
          <t>1. Login staff@gmail.com (has multiple submissions)
2. Go to new chat at /
3. Type: "Review and check my submission status"
4. Send and review response</t>
        </is>
      </c>
      <c r="H30" s="41" t="inlineStr">
        <is>
          <t>AI lists staff's submissions with current statuses. List matches dashboard at /.</t>
        </is>
      </c>
      <c r="I30" s="41" t="inlineStr">
        <is>
          <t>(none)</t>
        </is>
      </c>
      <c r="J30" s="45" t="inlineStr">
        <is>
          <t>P2</t>
        </is>
      </c>
      <c r="K30" s="39" t="inlineStr">
        <is>
          <t>Passed</t>
        </is>
      </c>
      <c r="L30" s="49" t="inlineStr">
        <is>
          <t>https://jam.dev/c/d1931bae-8fb2-47b1-81f8-e6b126a3675b</t>
        </is>
      </c>
      <c r="M30" s="41" t="inlineStr">
        <is>
          <t>but should be have pagination like to avoid long time, if many files
also the numbering shown always 1 (which is bug)</t>
        </is>
      </c>
      <c r="N30" s="41" t="inlineStr">
        <is>
          <t>Spec 6.5 (Search &amp; Reference)
→ "Search/filter by Ringi ID, subject, applicant, department, amount range, status, and period."</t>
        </is>
      </c>
      <c r="O30" s="3" t="n"/>
      <c r="P30" s="3" t="n"/>
      <c r="Q30" s="3" t="n"/>
      <c r="R30" s="3" t="n"/>
      <c r="S30" s="3" t="n"/>
      <c r="T30" s="3" t="n"/>
      <c r="U30" s="3" t="n"/>
      <c r="V30" s="3" t="n"/>
      <c r="W30" s="3" t="n"/>
      <c r="X30" s="3" t="n"/>
      <c r="Y30" s="3" t="n"/>
      <c r="Z30" s="3" t="n"/>
    </row>
    <row r="31" ht="60" customHeight="1" s="54">
      <c r="A31" s="35" t="inlineStr">
        <is>
          <t>KT-AIR-004</t>
        </is>
      </c>
      <c r="B31" s="35" t="inlineStr">
        <is>
          <t>AI Retrieval</t>
        </is>
      </c>
      <c r="C31" s="41" t="inlineStr">
        <is>
          <t>Search in Japanese</t>
        </is>
      </c>
      <c r="D31" s="41" t="inlineStr">
        <is>
          <t>Search for document/status in Japanese</t>
        </is>
      </c>
      <c r="E31" s="44" t="inlineStr">
        <is>
          <t>Basic</t>
        </is>
      </c>
      <c r="F31" s="41" t="inlineStr">
        <is>
          <t>JP documents exist</t>
        </is>
      </c>
      <c r="G31" s="41" t="inlineStr">
        <is>
          <t>1. Login staff@gmail.com (JP submissions exist)
2. Go to new chat at /
3. Type: "稟議書の状態を確認してください"
4. Send and review response</t>
        </is>
      </c>
      <c r="H31" s="41" t="inlineStr">
        <is>
          <t>AI responds in Japanese. Lists submissions with statuses. Japanese titles displayed correctly.</t>
        </is>
      </c>
      <c r="I31" s="41" t="inlineStr">
        <is>
          <t>(none)</t>
        </is>
      </c>
      <c r="J31" s="45" t="inlineStr">
        <is>
          <t>P2</t>
        </is>
      </c>
      <c r="K31" s="39" t="inlineStr">
        <is>
          <t>Passed</t>
        </is>
      </c>
      <c r="L31" s="52" t="inlineStr">
        <is>
          <t>https://jam.dev/c/c2455701-1403-4615-9574-15a0ea25ec9c</t>
        </is>
      </c>
      <c r="M31" s="41" t="inlineStr">
        <is>
          <t>pass yet buggy, 1st submit waiting so long, the sent message is not disabled thus can prompt 2 times, and the response appear two times</t>
        </is>
      </c>
      <c r="N31" s="41" t="inlineStr">
        <is>
          <t>Spec 6.5 (Search &amp; Reference)
→ "Search/filter by Ringi ID, subject, applicant, department, amount range, status, and period."</t>
        </is>
      </c>
      <c r="O31" s="3" t="n"/>
      <c r="P31" s="3" t="n"/>
      <c r="Q31" s="3" t="n"/>
      <c r="R31" s="3" t="n"/>
      <c r="S31" s="3" t="n"/>
      <c r="T31" s="3" t="n"/>
      <c r="U31" s="3" t="n"/>
      <c r="V31" s="3" t="n"/>
      <c r="W31" s="3" t="n"/>
      <c r="X31" s="3" t="n"/>
      <c r="Y31" s="3" t="n"/>
      <c r="Z31" s="3" t="n"/>
    </row>
    <row r="32" ht="60" customHeight="1" s="54">
      <c r="A32" s="35" t="inlineStr">
        <is>
          <t>KT-AIR-005</t>
        </is>
      </c>
      <c r="B32" s="35" t="inlineStr">
        <is>
          <t>AI Retrieval</t>
        </is>
      </c>
      <c r="C32" s="41" t="inlineStr">
        <is>
          <t>Non-existent document</t>
        </is>
      </c>
      <c r="D32" s="41" t="inlineStr">
        <is>
          <t>Ask for non-existent document/submission</t>
        </is>
      </c>
      <c r="E32" s="47" t="inlineStr">
        <is>
          <t>Edge Case</t>
        </is>
      </c>
      <c r="F32" s="41" t="inlineStr">
        <is>
          <t>Login as staff@gmail.com</t>
        </is>
      </c>
      <c r="G32" s="41" t="inlineStr">
        <is>
          <t>1. Login staff@gmail.com
2. Go to new chat at /
3. Type: "What is the status of ringi XYZ-NONEXISTENT-999?"
4. Send and review response</t>
        </is>
      </c>
      <c r="H32" s="41" t="inlineStr">
        <is>
          <t>AI does NOT return fabricated data. Indicates no matching submission found. Suggests checking title or listing existing.</t>
        </is>
      </c>
      <c r="I32" s="41" t="inlineStr">
        <is>
          <t>(none)</t>
        </is>
      </c>
      <c r="J32" s="45" t="inlineStr">
        <is>
          <t>P2</t>
        </is>
      </c>
      <c r="K32" s="39" t="inlineStr">
        <is>
          <t>Passed</t>
        </is>
      </c>
      <c r="L32" s="49" t="inlineStr">
        <is>
          <t>https://jam.dev/c/b6fabc61-818c-473a-b6b5-d1a8bd6b611a</t>
        </is>
      </c>
      <c r="M32" s="41" t="inlineStr">
        <is>
          <t>Pass yet buggy, it give all pending requests</t>
        </is>
      </c>
      <c r="N32" s="41" t="inlineStr">
        <is>
          <t>Spec 6.5 (Search &amp; Reference)
→ "Search/filter by Ringi ID, subject, applicant, department, amount range, status, and period."</t>
        </is>
      </c>
      <c r="O32" s="3" t="n"/>
      <c r="P32" s="3" t="n"/>
      <c r="Q32" s="3" t="n"/>
      <c r="R32" s="3" t="n"/>
      <c r="S32" s="3" t="n"/>
      <c r="T32" s="3" t="n"/>
      <c r="U32" s="3" t="n"/>
      <c r="V32" s="3" t="n"/>
      <c r="W32" s="3" t="n"/>
      <c r="X32" s="3" t="n"/>
      <c r="Y32" s="3" t="n"/>
      <c r="Z32" s="3" t="n"/>
    </row>
    <row r="33" ht="60" customHeight="1" s="54">
      <c r="A33" s="35" t="inlineStr">
        <is>
          <t>KT-AIR-006</t>
        </is>
      </c>
      <c r="B33" s="35" t="inlineStr">
        <is>
          <t>AI Retrieval</t>
        </is>
      </c>
      <c r="C33" s="41" t="inlineStr">
        <is>
          <t>Another user's submission</t>
        </is>
      </c>
      <c r="D33" s="41" t="inlineStr">
        <is>
          <t>Ask for another user's submission status</t>
        </is>
      </c>
      <c r="E33" s="47" t="inlineStr">
        <is>
          <t>Edge Case</t>
        </is>
      </c>
      <c r="F33" s="41" t="inlineStr">
        <is>
          <t>Multiple users have submissions</t>
        </is>
      </c>
      <c r="G33" s="41" t="inlineStr">
        <is>
          <t>1. Login staff@gmail.com
2. Go to new chat at /
3. Type: "What is the status of 'Manager Self-Approval Test'?" (manager's submission)
4. Send and review response</t>
        </is>
      </c>
      <c r="H33" s="41" t="inlineStr">
        <is>
          <t>AI respects data boundaries. Either denies access, shows limited info, or indicates another user's submission.</t>
        </is>
      </c>
      <c r="I33" s="41" t="inlineStr">
        <is>
          <t>(none)</t>
        </is>
      </c>
      <c r="J33" s="45" t="inlineStr">
        <is>
          <t>P2</t>
        </is>
      </c>
      <c r="K33" s="39" t="inlineStr">
        <is>
          <t>Partial Pass</t>
        </is>
      </c>
      <c r="L33" s="52" t="inlineStr">
        <is>
          <t>https://jam.dev/c/af3d194a-5853-473f-87f7-df2e469fe7c3</t>
        </is>
      </c>
      <c r="M33" s="41" t="inlineStr">
        <is>
          <t>It did not show yet the AI hallucinate</t>
        </is>
      </c>
      <c r="N33" s="41" t="inlineStr">
        <is>
          <t>Spec 6.5, Spec 6.7 (Permissions)
→ "RBAC: Initiators edit/view their own applications, approvers operate on assigned cases, admins view all and change settings."</t>
        </is>
      </c>
      <c r="O33" s="3" t="n"/>
      <c r="P33" s="3" t="n"/>
      <c r="Q33" s="3" t="n"/>
      <c r="R33" s="3" t="n"/>
      <c r="S33" s="3" t="n"/>
      <c r="T33" s="3" t="n"/>
      <c r="U33" s="3" t="n"/>
      <c r="V33" s="3" t="n"/>
      <c r="W33" s="3" t="n"/>
      <c r="X33" s="3" t="n"/>
      <c r="Y33" s="3" t="n"/>
      <c r="Z33" s="3" t="n"/>
    </row>
    <row r="34" ht="60" customHeight="1" s="54">
      <c r="A34" s="35" t="inlineStr">
        <is>
          <t>KT-STS-001</t>
        </is>
      </c>
      <c r="B34" s="35" t="inlineStr">
        <is>
          <t>Status</t>
        </is>
      </c>
      <c r="C34" s="41" t="inlineStr">
        <is>
          <t>Pending status display</t>
        </is>
      </c>
      <c r="D34" s="41" t="inlineStr">
        <is>
          <t>Verify pending status display on card and detail</t>
        </is>
      </c>
      <c r="E34" s="39" t="inlineStr">
        <is>
          <t>Main</t>
        </is>
      </c>
      <c r="F34" s="41" t="inlineStr">
        <is>
          <t>Fresh submission just created</t>
        </is>
      </c>
      <c r="G34" s="41" t="inlineStr">
        <is>
          <t>1. Login staff@gmail.com
2. New Submission → Category: Other
3. Title: 'Status Test - Pending', Priority: Low, Dept: QA
4. Vendor: 'Test', Payment: 2026-05-01, Cash
5. Required by: 2026-04-30 17:00
6. Reason: 'Testing pending status display', Purpose: 'QA Status Test'
7. After submission, find card on dashboard
8. Click card → detail view</t>
        </is>
      </c>
      <c r="H34" s="41" t="inlineStr">
        <is>
          <t>'Pending' badge with orange styling on dashboard card and detail view. Submission in active list.</t>
        </is>
      </c>
      <c r="I34" s="41" t="inlineStr">
        <is>
          <t>(none)</t>
        </is>
      </c>
      <c r="J34" s="38" t="inlineStr">
        <is>
          <t>P1</t>
        </is>
      </c>
      <c r="K34" s="39" t="inlineStr">
        <is>
          <t>Passed</t>
        </is>
      </c>
      <c r="L34" s="41" t="inlineStr">
        <is>
          <t>same as previous</t>
        </is>
      </c>
      <c r="M34" s="41" t="n"/>
      <c r="N34" s="41" t="inlineStr">
        <is>
          <t>Spec 6.3, Spec 9 (UI/UX)
→ "Statuses: Draft / Applying / Waiting for Approval (by stage) / Sent Back / Rejected / Approved / Expired."</t>
        </is>
      </c>
      <c r="O34" s="3" t="n"/>
      <c r="P34" s="3" t="n"/>
      <c r="Q34" s="3" t="n"/>
      <c r="R34" s="3" t="n"/>
      <c r="S34" s="3" t="n"/>
      <c r="T34" s="3" t="n"/>
      <c r="U34" s="3" t="n"/>
      <c r="V34" s="3" t="n"/>
      <c r="W34" s="3" t="n"/>
      <c r="X34" s="3" t="n"/>
      <c r="Y34" s="3" t="n"/>
      <c r="Z34" s="3" t="n"/>
    </row>
    <row r="35" ht="60" customHeight="1" s="54">
      <c r="A35" s="35" t="inlineStr">
        <is>
          <t>KT-STS-002</t>
        </is>
      </c>
      <c r="B35" s="35" t="inlineStr">
        <is>
          <t>Status</t>
        </is>
      </c>
      <c r="C35" s="41" t="inlineStr">
        <is>
          <t>Approved status display</t>
        </is>
      </c>
      <c r="D35" s="41" t="inlineStr">
        <is>
          <t>Verify approved status after manager approval</t>
        </is>
      </c>
      <c r="E35" s="39" t="inlineStr">
        <is>
          <t>Main</t>
        </is>
      </c>
      <c r="F35" s="41" t="inlineStr">
        <is>
          <t>Manager approves a submission</t>
        </is>
      </c>
      <c r="G35" s="41" t="inlineStr">
        <is>
          <t>1. Login manager@gmail.com
2. Find 'Status Test - Pending' card → detail /approval-requests/[id]
3. Click green Approve → Confirm
4. Switch to staff@gmail.com
5. Find now-approved card on dashboard
6. Click → detail view</t>
        </is>
      </c>
      <c r="H35" s="41" t="inlineStr">
        <is>
          <t>'Approved' badge with green color and CheckCircle icon on card and detail. Approval info in Timeline tab.</t>
        </is>
      </c>
      <c r="I35" s="41" t="inlineStr">
        <is>
          <t>(none)</t>
        </is>
      </c>
      <c r="J35" s="38" t="inlineStr">
        <is>
          <t>P1</t>
        </is>
      </c>
      <c r="K35" s="39" t="inlineStr">
        <is>
          <t>Passed</t>
        </is>
      </c>
      <c r="L35" s="41" t="n"/>
      <c r="M35" s="41" t="n"/>
      <c r="N35" s="41" t="inlineStr">
        <is>
          <t>Spec 6.3, Spec 9 (UI/UX)
→ "Statuses: Draft / Applying / Waiting for Approval (by stage) / Sent Back / Rejected / Approved / Expired."</t>
        </is>
      </c>
      <c r="O35" s="3" t="n"/>
      <c r="P35" s="3" t="n"/>
      <c r="Q35" s="3" t="n"/>
      <c r="R35" s="3" t="n"/>
      <c r="S35" s="3" t="n"/>
      <c r="T35" s="3" t="n"/>
      <c r="U35" s="3" t="n"/>
      <c r="V35" s="3" t="n"/>
      <c r="W35" s="3" t="n"/>
      <c r="X35" s="3" t="n"/>
      <c r="Y35" s="3" t="n"/>
      <c r="Z35" s="3" t="n"/>
    </row>
    <row r="36" ht="60" customHeight="1" s="54">
      <c r="A36" s="35" t="inlineStr">
        <is>
          <t>KT-STS-003</t>
        </is>
      </c>
      <c r="B36" s="35" t="inlineStr">
        <is>
          <t>Status</t>
        </is>
      </c>
      <c r="C36" s="41" t="inlineStr">
        <is>
          <t>Rejected status display</t>
        </is>
      </c>
      <c r="D36" s="41" t="inlineStr">
        <is>
          <t>Verify rejected status display</t>
        </is>
      </c>
      <c r="E36" s="44" t="inlineStr">
        <is>
          <t>Basic</t>
        </is>
      </c>
      <c r="F36" s="41" t="inlineStr">
        <is>
          <t>Manager rejects a submission</t>
        </is>
      </c>
      <c r="G36" s="41" t="inlineStr">
        <is>
          <t>1. Login staff@gmail.com → New Submission: 'Status Test - To Be Rejected', Low, QA (fill remaining)
2. Switch to manager@gmail.com → find submission, open detail
3. Click red Reject → enter 'Test rejection' → Confirm
4. Switch to staff@gmail.com → view on dashboard and detail</t>
        </is>
      </c>
      <c r="H36" s="41" t="inlineStr">
        <is>
          <t>'Rejected' badge with red color and XCircle icon. Rejection reason 'Test rejection' visible in Timeline tab.</t>
        </is>
      </c>
      <c r="I36" s="41" t="inlineStr">
        <is>
          <t>(none)</t>
        </is>
      </c>
      <c r="J36" s="45" t="inlineStr">
        <is>
          <t>P2</t>
        </is>
      </c>
      <c r="K36" s="39" t="inlineStr">
        <is>
          <t>Passed</t>
        </is>
      </c>
      <c r="L36" s="49" t="inlineStr">
        <is>
          <t>https://jam.dev/c/2b43d3c6-f2ad-4a1d-984e-ee7d4b8bd278</t>
        </is>
      </c>
      <c r="M36" s="41" t="n"/>
      <c r="N36" s="41" t="inlineStr">
        <is>
          <t>Spec 6.3, Spec 9 (UI/UX)
→ "Statuses: Draft / Applying / Waiting for Approval (by stage) / Sent Back / Rejected / Approved / Expired."</t>
        </is>
      </c>
      <c r="O36" s="3" t="n"/>
      <c r="P36" s="3" t="n"/>
      <c r="Q36" s="3" t="n"/>
      <c r="R36" s="3" t="n"/>
      <c r="S36" s="3" t="n"/>
      <c r="T36" s="3" t="n"/>
      <c r="U36" s="3" t="n"/>
      <c r="V36" s="3" t="n"/>
      <c r="W36" s="3" t="n"/>
      <c r="X36" s="3" t="n"/>
      <c r="Y36" s="3" t="n"/>
      <c r="Z36" s="3" t="n"/>
    </row>
    <row r="37" ht="60" customHeight="1" s="54">
      <c r="A37" s="35" t="inlineStr">
        <is>
          <t>KT-STS-004</t>
        </is>
      </c>
      <c r="B37" s="35" t="inlineStr">
        <is>
          <t>Status</t>
        </is>
      </c>
      <c r="C37" s="41" t="inlineStr">
        <is>
          <t>Need revision status display</t>
        </is>
      </c>
      <c r="D37" s="41" t="inlineStr">
        <is>
          <t>Verify need_revision status display</t>
        </is>
      </c>
      <c r="E37" s="44" t="inlineStr">
        <is>
          <t>Basic</t>
        </is>
      </c>
      <c r="F37" s="41" t="inlineStr">
        <is>
          <t>Manager requests revision</t>
        </is>
      </c>
      <c r="G37" s="41" t="inlineStr">
        <is>
          <t>1. Login staff@gmail.com → New Submission: 'Status Test - Needs Revision', Low, QA (fill remaining)
2. Switch to manager@gmail.com → find submission, open detail
3. Click 'Request Revision' → enter 'Please add more details about the budget' → Confirm
4. Switch to staff@gmail.com → view on dashboard and detail</t>
        </is>
      </c>
      <c r="H37" s="41" t="inlineStr">
        <is>
          <t>'Need Revision' badge with orange/yellow styling. Manager's feedback in Timeline tab. Edit button available for staff.</t>
        </is>
      </c>
      <c r="I37" s="41" t="inlineStr">
        <is>
          <t>(none)</t>
        </is>
      </c>
      <c r="J37" s="45" t="inlineStr">
        <is>
          <t>P2</t>
        </is>
      </c>
      <c r="K37" s="39" t="inlineStr">
        <is>
          <t>Failed</t>
        </is>
      </c>
      <c r="L37" s="41" t="n"/>
      <c r="M37" s="41" t="inlineStr">
        <is>
          <t>Not implemented?</t>
        </is>
      </c>
      <c r="N37" s="41" t="inlineStr">
        <is>
          <t>Spec 6.3, Spec 9 (UI/UX)
→ "Statuses: Draft / Applying / Waiting for Approval (by stage) / Sent Back / Rejected / Approved / Expired."</t>
        </is>
      </c>
      <c r="O37" s="3" t="n"/>
      <c r="P37" s="3" t="n"/>
      <c r="Q37" s="3" t="n"/>
      <c r="R37" s="3" t="n"/>
      <c r="S37" s="3" t="n"/>
      <c r="T37" s="3" t="n"/>
      <c r="U37" s="3" t="n"/>
      <c r="V37" s="3" t="n"/>
      <c r="W37" s="3" t="n"/>
      <c r="X37" s="3" t="n"/>
      <c r="Y37" s="3" t="n"/>
      <c r="Z37" s="3" t="n"/>
    </row>
    <row r="38" ht="60" customHeight="1" s="54">
      <c r="A38" s="35" t="inlineStr">
        <is>
          <t>KT-STS-005</t>
        </is>
      </c>
      <c r="B38" s="35" t="inlineStr">
        <is>
          <t>Status</t>
        </is>
      </c>
      <c r="C38" s="41" t="inlineStr">
        <is>
          <t>Cancelled status display</t>
        </is>
      </c>
      <c r="D38" s="41" t="inlineStr">
        <is>
          <t>Verify cancelled status after owner cancels</t>
        </is>
      </c>
      <c r="E38" s="44" t="inlineStr">
        <is>
          <t>Basic</t>
        </is>
      </c>
      <c r="F38" s="41" t="inlineStr">
        <is>
          <t>Staff cancels own submission</t>
        </is>
      </c>
      <c r="G38" s="41" t="inlineStr">
        <is>
          <t>1. Login staff@gmail.com → New Submission: 'Status Test - To Be Cancelled', Low, QA (fill remaining)
2. Find pending submission on dashboard → detail /approval-requests/[id]
3. Click Cancel (or equivalent withdraw action)
4. Verify status on dashboard and detail</t>
        </is>
      </c>
      <c r="H38" s="41" t="inlineStr">
        <is>
          <t>'Cancelled' badge with grey styling. Submission no longer in active/pending lists. No further actions available.</t>
        </is>
      </c>
      <c r="I38" s="41" t="inlineStr">
        <is>
          <t>(none)</t>
        </is>
      </c>
      <c r="J38" s="45" t="inlineStr">
        <is>
          <t>P2</t>
        </is>
      </c>
      <c r="K38" s="39" t="inlineStr">
        <is>
          <t>Failed</t>
        </is>
      </c>
      <c r="L38" s="41" t="n"/>
      <c r="M38" s="41" t="inlineStr">
        <is>
          <t>Not implemented?</t>
        </is>
      </c>
      <c r="N38" s="41" t="inlineStr">
        <is>
          <t>Spec 6.3, Spec 9 (UI/UX)
→ "Statuses: Draft / Applying / Waiting for Approval (by stage) / Sent Back / Rejected / Approved / Expired."</t>
        </is>
      </c>
      <c r="O38" s="3" t="n"/>
      <c r="P38" s="3" t="n"/>
      <c r="Q38" s="3" t="n"/>
      <c r="R38" s="3" t="n"/>
      <c r="S38" s="3" t="n"/>
      <c r="T38" s="3" t="n"/>
      <c r="U38" s="3" t="n"/>
      <c r="V38" s="3" t="n"/>
      <c r="W38" s="3" t="n"/>
      <c r="X38" s="3" t="n"/>
      <c r="Y38" s="3" t="n"/>
      <c r="Z38" s="3" t="n"/>
    </row>
    <row r="39" ht="60" customHeight="1" s="54">
      <c r="A39" s="35" t="inlineStr">
        <is>
          <t>KT-ROL-001</t>
        </is>
      </c>
      <c r="B39" s="35" t="inlineStr">
        <is>
          <t>User Role</t>
        </is>
      </c>
      <c r="C39" s="41" t="inlineStr">
        <is>
          <t>Staff sees own submissions</t>
        </is>
      </c>
      <c r="D39" s="41" t="inlineStr">
        <is>
          <t>Staff sees only own submissions on dashboard</t>
        </is>
      </c>
      <c r="E39" s="39" t="inlineStr">
        <is>
          <t>Main</t>
        </is>
      </c>
      <c r="F39" s="41" t="inlineStr">
        <is>
          <t>Multiple users have submissions</t>
        </is>
      </c>
      <c r="G39" s="41" t="inlineStr">
        <is>
          <t>1. Login manager@gmail.com → submit ringi: 'Manager's Test Submission', Low, Management (if not already done)
2. Logout → login staff@gmail.com
3. Go to dashboard → check all visible submission cards</t>
        </is>
      </c>
      <c r="H39" s="41" t="inlineStr">
        <is>
          <t>Staff sees only OWN submissions. 'Manager's Test Submission' NOT visible. No other users' submissions.</t>
        </is>
      </c>
      <c r="I39" s="41" t="inlineStr">
        <is>
          <t>(none)</t>
        </is>
      </c>
      <c r="J39" s="38" t="inlineStr">
        <is>
          <t>P1</t>
        </is>
      </c>
      <c r="K39" s="39" t="inlineStr">
        <is>
          <t>Partial Pass</t>
        </is>
      </c>
      <c r="L39" s="49" t="inlineStr">
        <is>
          <t>https://jam.dev/c/c778d93c-439e-47df-9600-95ef39426796</t>
        </is>
      </c>
      <c r="M39" s="41" t="inlineStr">
        <is>
          <t>Client Side (FE side) Bug, after changin the role, the previous role submission still appear</t>
        </is>
      </c>
      <c r="N39" s="41" t="inlineStr">
        <is>
          <t>Spec 6.7 (Permissions), Spec 3 (Stakeholders)
→ "RBAC: Initiators edit/view their own applications, approvers operate on assigned cases, admins view all and change settings."</t>
        </is>
      </c>
      <c r="O39" s="3" t="n"/>
      <c r="P39" s="3" t="n"/>
      <c r="Q39" s="3" t="n"/>
      <c r="R39" s="3" t="n"/>
      <c r="S39" s="3" t="n"/>
      <c r="T39" s="3" t="n"/>
      <c r="U39" s="3" t="n"/>
      <c r="V39" s="3" t="n"/>
      <c r="W39" s="3" t="n"/>
      <c r="X39" s="3" t="n"/>
      <c r="Y39" s="3" t="n"/>
      <c r="Z39" s="3" t="n"/>
    </row>
    <row r="40" ht="60" customHeight="1" s="54">
      <c r="A40" s="35" t="inlineStr">
        <is>
          <t>KT-ROL-002</t>
        </is>
      </c>
      <c r="B40" s="35" t="inlineStr">
        <is>
          <t>User Role</t>
        </is>
      </c>
      <c r="C40" s="41" t="inlineStr">
        <is>
          <t>Manager sees all + can approve</t>
        </is>
      </c>
      <c r="D40" s="41" t="inlineStr">
        <is>
          <t>Manager sees all submissions and can approve</t>
        </is>
      </c>
      <c r="E40" s="39" t="inlineStr">
        <is>
          <t>Main</t>
        </is>
      </c>
      <c r="F40" s="41" t="inlineStr">
        <is>
          <t>Submissions from multiple users exist</t>
        </is>
      </c>
      <c r="G40" s="41" t="inlineStr">
        <is>
          <t>1. Login manager@gmail.com
2. Go to dashboard → check visible submission cards
3. Click any pending submission → detail /approval-requests/[id]
4. Check available action buttons</t>
        </is>
      </c>
      <c r="H40" s="41" t="inlineStr">
        <is>
          <t>Manager sees submissions from ALL users. Green Approve and red Reject buttons on pending submissions.</t>
        </is>
      </c>
      <c r="I40" s="41" t="inlineStr">
        <is>
          <t>(none)</t>
        </is>
      </c>
      <c r="J40" s="38" t="inlineStr">
        <is>
          <t>P1</t>
        </is>
      </c>
      <c r="K40" s="39" t="inlineStr">
        <is>
          <t>Failed</t>
        </is>
      </c>
      <c r="L40" s="41" t="n"/>
      <c r="M40" s="41" t="inlineStr">
        <is>
          <t>manager cannot see staff currently</t>
        </is>
      </c>
      <c r="N40" s="41" t="inlineStr">
        <is>
          <t>Spec 6.7 (Permissions), Spec 3 (Stakeholders)
→ "RBAC: Initiators edit/view their own applications, approvers operate on assigned cases, admins view all and change settings."</t>
        </is>
      </c>
      <c r="O40" s="3" t="n"/>
      <c r="P40" s="3" t="n"/>
      <c r="Q40" s="3" t="n"/>
      <c r="R40" s="3" t="n"/>
      <c r="S40" s="3" t="n"/>
      <c r="T40" s="3" t="n"/>
      <c r="U40" s="3" t="n"/>
      <c r="V40" s="3" t="n"/>
      <c r="W40" s="3" t="n"/>
      <c r="X40" s="3" t="n"/>
      <c r="Y40" s="3" t="n"/>
      <c r="Z40" s="3" t="n"/>
    </row>
    <row r="41" ht="60" customHeight="1" s="54">
      <c r="A41" s="35" t="inlineStr">
        <is>
          <t>KT-ROL-003</t>
        </is>
      </c>
      <c r="B41" s="35" t="inlineStr">
        <is>
          <t>User Role</t>
        </is>
      </c>
      <c r="C41" s="41" t="inlineStr">
        <is>
          <t>Staff no approve buttons</t>
        </is>
      </c>
      <c r="D41" s="41" t="inlineStr">
        <is>
          <t>Staff cannot see approve/reject buttons</t>
        </is>
      </c>
      <c r="E41" s="44" t="inlineStr">
        <is>
          <t>Basic</t>
        </is>
      </c>
      <c r="F41" s="41" t="inlineStr">
        <is>
          <t>Pending submissions exist</t>
        </is>
      </c>
      <c r="G41" s="41" t="inlineStr">
        <is>
          <t>1. Login staff@gmail.com
2. Click any own submission → detail /approval-requests/[id]
3. Check ALL available action buttons
4. Also check dashboard card actions</t>
        </is>
      </c>
      <c r="H41" s="41" t="inlineStr">
        <is>
          <t>No Approve, Reject, or Request Revision buttons. Staff only sees: Edit (on pending), Cancel (if available), View.</t>
        </is>
      </c>
      <c r="I41" s="41" t="inlineStr">
        <is>
          <t>(none)</t>
        </is>
      </c>
      <c r="J41" s="38" t="inlineStr">
        <is>
          <t>P1</t>
        </is>
      </c>
      <c r="K41" s="39" t="inlineStr">
        <is>
          <t>Passed</t>
        </is>
      </c>
      <c r="L41" s="41" t="n"/>
      <c r="M41" s="41" t="n"/>
      <c r="N41" s="41" t="inlineStr">
        <is>
          <t>Spec 6.7 (Permissions), Spec 3 (Stakeholders)
→ "RBAC: Initiators edit/view their own applications, approvers operate on assigned cases, admins view all and change settings."</t>
        </is>
      </c>
      <c r="O41" s="3" t="n"/>
      <c r="P41" s="3" t="n"/>
      <c r="Q41" s="3" t="n"/>
      <c r="R41" s="3" t="n"/>
      <c r="S41" s="3" t="n"/>
      <c r="T41" s="3" t="n"/>
      <c r="U41" s="3" t="n"/>
      <c r="V41" s="3" t="n"/>
      <c r="W41" s="3" t="n"/>
      <c r="X41" s="3" t="n"/>
      <c r="Y41" s="3" t="n"/>
      <c r="Z41" s="3" t="n"/>
    </row>
    <row r="42" ht="60" customHeight="1" s="54">
      <c r="A42" s="35" t="inlineStr">
        <is>
          <t>KT-ROL-004</t>
        </is>
      </c>
      <c r="B42" s="35" t="inlineStr">
        <is>
          <t>User Role</t>
        </is>
      </c>
      <c r="C42" s="41" t="inlineStr">
        <is>
          <t>Manager quick-approve</t>
        </is>
      </c>
      <c r="D42" s="41" t="inlineStr">
        <is>
          <t>Manager quick-approve from dashboard card</t>
        </is>
      </c>
      <c r="E42" s="44" t="inlineStr">
        <is>
          <t>Basic</t>
        </is>
      </c>
      <c r="F42" s="41" t="inlineStr">
        <is>
          <t>Pending submissions on dashboard</t>
        </is>
      </c>
      <c r="G42" s="41" t="inlineStr">
        <is>
          <t>1. Login manager@gmail.com
2. Go to dashboard → find pending ringi card
3. Look for quick-action buttons on card
4. If available, use quick-approve</t>
        </is>
      </c>
      <c r="H42" s="41" t="inlineStr">
        <is>
          <t>Quick-approve exists on cards (if implemented). Approval succeeds from dashboard. Card status updates immediately.</t>
        </is>
      </c>
      <c r="I42" s="41" t="inlineStr">
        <is>
          <t>(none)</t>
        </is>
      </c>
      <c r="J42" s="45" t="inlineStr">
        <is>
          <t>P2</t>
        </is>
      </c>
      <c r="K42" s="39" t="inlineStr">
        <is>
          <t>Passed</t>
        </is>
      </c>
      <c r="L42" s="41" t="n"/>
      <c r="M42" s="41" t="n"/>
      <c r="N42" s="41" t="inlineStr">
        <is>
          <t>Spec 6.7 (Permissions), Spec 3 (Stakeholders)
→ "RBAC: Initiators edit/view their own applications, approvers operate on assigned cases, admins view all and change settings."</t>
        </is>
      </c>
      <c r="O42" s="3" t="n"/>
      <c r="P42" s="3" t="n"/>
      <c r="Q42" s="3" t="n"/>
      <c r="R42" s="3" t="n"/>
      <c r="S42" s="3" t="n"/>
      <c r="T42" s="3" t="n"/>
      <c r="U42" s="3" t="n"/>
      <c r="V42" s="3" t="n"/>
      <c r="W42" s="3" t="n"/>
      <c r="X42" s="3" t="n"/>
      <c r="Y42" s="3" t="n"/>
      <c r="Z42" s="3" t="n"/>
    </row>
    <row r="43" ht="60" customHeight="1" s="54">
      <c r="A43" s="35" t="inlineStr">
        <is>
          <t>KT-ROL-005</t>
        </is>
      </c>
      <c r="B43" s="35" t="inlineStr">
        <is>
          <t>User Role</t>
        </is>
      </c>
      <c r="C43" s="41" t="inlineStr">
        <is>
          <t>Staff admin URL access</t>
        </is>
      </c>
      <c r="D43" s="41" t="inlineStr">
        <is>
          <t>Staff direct URL access to admin page</t>
        </is>
      </c>
      <c r="E43" s="47" t="inlineStr">
        <is>
          <t>Edge Case</t>
        </is>
      </c>
      <c r="F43" s="41" t="inlineStr">
        <is>
          <t>Login as staff@gmail.com</t>
        </is>
      </c>
      <c r="G43" s="41" t="inlineStr">
        <is>
          <t>1. Login staff@gmail.com
2. Type URL: https://eb-filemg-development.vercel.app/superadmin/dashboard → Enter
3. Observe result
4. Also try: https://eb-filemg-development.vercel.app/superadmin/users</t>
        </is>
      </c>
      <c r="H43" s="41" t="inlineStr">
        <is>
          <t>Staff NOT able to access admin pages. Redirected to / or access denied. No admin functionality exposed. No admin nav in sidebar.</t>
        </is>
      </c>
      <c r="I43" s="41" t="inlineStr">
        <is>
          <t>(none)</t>
        </is>
      </c>
      <c r="J43" s="38" t="inlineStr">
        <is>
          <t>P1</t>
        </is>
      </c>
      <c r="K43" s="39" t="inlineStr">
        <is>
          <t>Passed</t>
        </is>
      </c>
      <c r="L43" s="52" t="inlineStr">
        <is>
          <t>https://jam.dev/c/39a8da64-75f7-4bfa-bdf1-288fce1229be</t>
        </is>
      </c>
      <c r="M43" s="41" t="n"/>
      <c r="N43" s="41" t="inlineStr">
        <is>
          <t>Spec 6.7 (Permissions), Spec 3 (Stakeholders)
→ "RBAC: Initiators edit/view their own applications, approvers operate on assigned cases, admins view all and change settings."</t>
        </is>
      </c>
      <c r="O43" s="3" t="n"/>
      <c r="P43" s="3" t="n"/>
      <c r="Q43" s="3" t="n"/>
      <c r="R43" s="3" t="n"/>
      <c r="S43" s="3" t="n"/>
      <c r="T43" s="3" t="n"/>
      <c r="U43" s="3" t="n"/>
      <c r="V43" s="3" t="n"/>
      <c r="W43" s="3" t="n"/>
      <c r="X43" s="3" t="n"/>
      <c r="Y43" s="3" t="n"/>
      <c r="Z43" s="3" t="n"/>
    </row>
    <row r="44" ht="60" customHeight="1" s="54">
      <c r="A44" s="35" t="inlineStr">
        <is>
          <t>KT-ROL-006</t>
        </is>
      </c>
      <c r="B44" s="35" t="inlineStr">
        <is>
          <t>User Role</t>
        </is>
      </c>
      <c r="C44" s="41" t="inlineStr">
        <is>
          <t>Accountant view-only</t>
        </is>
      </c>
      <c r="D44" s="41" t="inlineStr">
        <is>
          <t>Accountant views but cannot act on submissions</t>
        </is>
      </c>
      <c r="E44" s="47" t="inlineStr">
        <is>
          <t>Edge Case</t>
        </is>
      </c>
      <c r="F44" s="41" t="inlineStr">
        <is>
          <t>Accountant role exists</t>
        </is>
      </c>
      <c r="G44" s="41" t="inlineStr">
        <is>
          <t>1. Check if accountant test account exists
2. If yes, login with accountant credentials
3. Go to dashboard → navigate to submission detail /approval-requests/[id]
4. Check available actions</t>
        </is>
      </c>
      <c r="H44" s="41" t="inlineStr">
        <is>
          <t>Accountant can VIEW submissions but cannot approve/reject/edit. No action buttons. View-only access.</t>
        </is>
      </c>
      <c r="I44" s="41" t="inlineStr">
        <is>
          <t>(none)</t>
        </is>
      </c>
      <c r="J44" s="48" t="inlineStr">
        <is>
          <t>P3</t>
        </is>
      </c>
      <c r="K44" s="39" t="inlineStr">
        <is>
          <t>Failed</t>
        </is>
      </c>
      <c r="L44" s="52" t="inlineStr">
        <is>
          <t>https://jam.dev/c/76d1929b-f41c-4138-be8a-b6d24c036407</t>
        </is>
      </c>
      <c r="M44" s="41" t="inlineStr">
        <is>
          <t>empty ringi on accountant</t>
        </is>
      </c>
      <c r="N44" s="41" t="inlineStr">
        <is>
          <t>Spec 6.7 (Permissions), Spec 3 (Stakeholders)
→ "RBAC: Initiators edit/view their own applications, approvers operate on assigned cases, admins view all and change settings."</t>
        </is>
      </c>
      <c r="O44" s="3" t="n"/>
      <c r="P44" s="3" t="n"/>
      <c r="Q44" s="3" t="n"/>
      <c r="R44" s="3" t="n"/>
      <c r="S44" s="3" t="n"/>
      <c r="T44" s="3" t="n"/>
      <c r="U44" s="3" t="n"/>
      <c r="V44" s="3" t="n"/>
      <c r="W44" s="3" t="n"/>
      <c r="X44" s="3" t="n"/>
      <c r="Y44" s="3" t="n"/>
      <c r="Z44" s="3" t="n"/>
    </row>
    <row r="45" ht="60" customHeight="1" s="54">
      <c r="A45" s="35" t="inlineStr">
        <is>
          <t>KT-AIC-009</t>
        </is>
      </c>
      <c r="B45" s="41" t="inlineStr">
        <is>
          <t>AI Chat</t>
        </is>
      </c>
      <c r="C45" s="41" t="inlineStr">
        <is>
          <t>Upload doc, AI creates submission</t>
        </is>
      </c>
      <c r="D45" s="41" t="inlineStr">
        <is>
          <t>Upload ringi doc in chat, AI extracts data and creates submission</t>
        </is>
      </c>
      <c r="E45" s="39" t="inlineStr">
        <is>
          <t>Main</t>
        </is>
      </c>
      <c r="F45" s="41" t="inlineStr">
        <is>
          <t>Login as staff@gmail.com</t>
        </is>
      </c>
      <c r="G45" s="41" t="inlineStr">
        <is>
          <t>1. Login staff@gmail.com
2. Go to new chat at /
3. Click paperclip → select ringi_en_form_laptop_purchase.docx
4. Verify file appears as attachment
5. Type: "Create a submission from this document"
6. Send and wait for response
7. Review extracted data</t>
        </is>
      </c>
      <c r="H45" s="41" t="inlineStr">
        <is>
          <t>AI extracts key data (title, amount ~$6,000, vendor, dept: Engineering). Offers pre-populated submission. Data matches document.</t>
        </is>
      </c>
      <c r="I45" s="41" t="inlineStr">
        <is>
          <t>ringi_en_form_laptop_purchase.docx</t>
        </is>
      </c>
      <c r="J45" s="38" t="inlineStr">
        <is>
          <t>P1</t>
        </is>
      </c>
      <c r="K45" s="39" t="inlineStr">
        <is>
          <t>Passed</t>
        </is>
      </c>
      <c r="L45" s="53" t="inlineStr">
        <is>
          <t>https://jam.dev/c/1efadd9c-aaeb-4818-8f43-f1cdaa356980</t>
        </is>
      </c>
      <c r="M45" s="41" t="n"/>
      <c r="N45" s="41" t="inlineStr">
        <is>
          <t>Spec 5 (Business Flow), Spec 6.1, Spec 6.4
→ "Contextual input assistance: Summarize chat messages to suggest initial form values."</t>
        </is>
      </c>
      <c r="O45" s="3" t="n"/>
      <c r="P45" s="3" t="n"/>
      <c r="Q45" s="3" t="n"/>
      <c r="R45" s="3" t="n"/>
      <c r="S45" s="3" t="n"/>
      <c r="T45" s="3" t="n"/>
      <c r="U45" s="3" t="n"/>
      <c r="V45" s="3" t="n"/>
      <c r="W45" s="3" t="n"/>
      <c r="X45" s="3" t="n"/>
      <c r="Y45" s="3" t="n"/>
      <c r="Z45" s="3" t="n"/>
    </row>
    <row r="46" ht="60" customHeight="1" s="54">
      <c r="A46" s="35" t="inlineStr">
        <is>
          <t>KT-AIC-010</t>
        </is>
      </c>
      <c r="B46" s="41" t="inlineStr">
        <is>
          <t>AI Chat</t>
        </is>
      </c>
      <c r="C46" s="41" t="inlineStr">
        <is>
          <t>Upload multiple files in chat</t>
        </is>
      </c>
      <c r="D46" s="41" t="inlineStr">
        <is>
          <t>Upload multiple files simultaneously in AI chat</t>
        </is>
      </c>
      <c r="E46" s="44" t="inlineStr">
        <is>
          <t>Basic</t>
        </is>
      </c>
      <c r="F46" s="41" t="inlineStr">
        <is>
          <t>Login as staff@gmail.com</t>
        </is>
      </c>
      <c r="G46" s="41" t="inlineStr">
        <is>
          <t>1. Login staff@gmail.com
2. Go to new chat at /
3. Click paperclip → select both: ringi_en_detailed_license_renewal.docx and ringi_en_purchase_monitors.docx
4. Verify both appear as previews
5. Type: "Please summarize both documents"
6. Send and review response</t>
        </is>
      </c>
      <c r="H46" s="41" t="inlineStr">
        <is>
          <t>Both files upload. AI acknowledges both. Separate summaries: Adobe license/$12,500 and Dell monitors/$3,750.</t>
        </is>
      </c>
      <c r="I46" s="41" t="inlineStr">
        <is>
          <t>ringi_en_detailed_license_renewal.docx, ringi_en_purchase_monitors.docx</t>
        </is>
      </c>
      <c r="J46" s="45" t="inlineStr">
        <is>
          <t>P2</t>
        </is>
      </c>
      <c r="K46" s="39" t="inlineStr">
        <is>
          <t>Partial Pass</t>
        </is>
      </c>
      <c r="L46" s="53" t="inlineStr">
        <is>
          <t>https://jam.dev/c/e9294356-f4ce-4bcb-92b1-fa3317f70460</t>
        </is>
      </c>
      <c r="M46" s="41" t="inlineStr">
        <is>
          <t>is it considered as 1 ringi or 2 ringi? can AI smartly categorize between same ringin file or different ringi file?</t>
        </is>
      </c>
      <c r="N46" s="41" t="inlineStr">
        <is>
          <t>Spec 6.1, Spec 6.4
→ "Attachments: Quotes, contracts, and related materials. No tampering allowed after approval (must re-apply as a new version)."</t>
        </is>
      </c>
      <c r="O46" s="3" t="n"/>
      <c r="P46" s="3" t="n"/>
      <c r="Q46" s="3" t="n"/>
      <c r="R46" s="3" t="n"/>
      <c r="S46" s="3" t="n"/>
      <c r="T46" s="3" t="n"/>
      <c r="U46" s="3" t="n"/>
      <c r="V46" s="3" t="n"/>
      <c r="W46" s="3" t="n"/>
      <c r="X46" s="3" t="n"/>
      <c r="Y46" s="3" t="n"/>
      <c r="Z46" s="3" t="n"/>
    </row>
    <row r="47" ht="60" customHeight="1" s="54">
      <c r="A47" s="35" t="inlineStr">
        <is>
          <t>KT-AIC-011</t>
        </is>
      </c>
      <c r="B47" s="41" t="inlineStr">
        <is>
          <t>AI Chat</t>
        </is>
      </c>
      <c r="C47" s="41" t="inlineStr">
        <is>
          <t>File card actions in chat</t>
        </is>
      </c>
      <c r="D47" s="41" t="inlineStr">
        <is>
          <t>File card actions in chat (Open/Share/Delete)</t>
        </is>
      </c>
      <c r="E47" s="44" t="inlineStr">
        <is>
          <t>Basic</t>
        </is>
      </c>
      <c r="F47" s="41" t="inlineStr">
        <is>
          <t>Login as staff@gmail.com</t>
        </is>
      </c>
      <c r="G47" s="41" t="inlineStr">
        <is>
          <t>1. Login staff@gmail.com
2. Go to new chat at /
3. Click paperclip → select ringi_en_form_laptop_purchase.docx
4. Type: "What is this file about?"
5. Send and wait for response
6. Check file card in chat: action buttons (Open, Share)
7. Click Open → file opens
8. Click Share → link copied</t>
        </is>
      </c>
      <c r="H47" s="41" t="inlineStr">
        <is>
          <t>File card displayed with file name/type. Open button opens file. Share button copies share link. UI clear and consistent.</t>
        </is>
      </c>
      <c r="I47" s="41" t="inlineStr">
        <is>
          <t>ringi_en_form_laptop_purchase.docx</t>
        </is>
      </c>
      <c r="J47" s="45" t="inlineStr">
        <is>
          <t>P2</t>
        </is>
      </c>
      <c r="K47" s="39" t="inlineStr">
        <is>
          <t>Partial Pass</t>
        </is>
      </c>
      <c r="L47" s="49" t="inlineStr">
        <is>
          <t>https://jam.dev/c/23f297ee-bd19-42be-93c5-3d59a25b1c86</t>
        </is>
      </c>
      <c r="M47" s="41" t="inlineStr">
        <is>
          <t>there is bug that the file atteched is 0 even though it is submitted
for the requirement it is debatable
the test cases perhaps should be updated
also why upload through "Drag &amp; drop files here
or click to browse - Max 20MB per file - Up to 10 files
Supported: PDF, DOCX, XLSX, PPTX, CSV, TXT, MD, JPG, PNG, HEIC, ZIP"
have different flow?</t>
        </is>
      </c>
      <c r="N47" s="41" t="inlineStr">
        <is>
          <t>Spec 6.4, Spec 9 (UI/UX)
→ "Approve/send back from chat cards."</t>
        </is>
      </c>
      <c r="O47" s="3" t="n"/>
      <c r="P47" s="3" t="n"/>
      <c r="Q47" s="3" t="n"/>
      <c r="R47" s="3" t="n"/>
      <c r="S47" s="3" t="n"/>
      <c r="T47" s="3" t="n"/>
      <c r="U47" s="3" t="n"/>
      <c r="V47" s="3" t="n"/>
      <c r="W47" s="3" t="n"/>
      <c r="X47" s="3" t="n"/>
      <c r="Y47" s="3" t="n"/>
      <c r="Z47" s="3" t="n"/>
    </row>
    <row r="48" ht="60" customHeight="1" s="54">
      <c r="A48" s="35" t="inlineStr">
        <is>
          <t>KT-AIC-012</t>
        </is>
      </c>
      <c r="B48" s="41" t="inlineStr">
        <is>
          <t>AI Chat</t>
        </is>
      </c>
      <c r="C48" s="41" t="inlineStr">
        <is>
          <t>Search uploaded files via AI</t>
        </is>
      </c>
      <c r="D48" s="41" t="inlineStr">
        <is>
          <t>Search for uploaded files via AI chat</t>
        </is>
      </c>
      <c r="E48" s="44" t="inlineStr">
        <is>
          <t>Basic</t>
        </is>
      </c>
      <c r="F48" s="41" t="inlineStr">
        <is>
          <t>Login as staff@gmail.com, files previously uploaded</t>
        </is>
      </c>
      <c r="G48" s="41" t="inlineStr">
        <is>
          <t>1. Login staff@gmail.com (files previously uploaded)
2. Go to new chat at /
3. Type: "Find my uploaded documents"
4. Send and review response
5. Check for SearchResultsCard with file cards</t>
        </is>
      </c>
      <c r="H48" s="41" t="inlineStr">
        <is>
          <t>AI uses search/retrieval for previously uploaded files. SearchResultsCard with file cards showing Open/Share actions.</t>
        </is>
      </c>
      <c r="I48" s="41" t="inlineStr">
        <is>
          <t>(none)</t>
        </is>
      </c>
      <c r="J48" s="45" t="inlineStr">
        <is>
          <t>P2</t>
        </is>
      </c>
      <c r="K48" s="39" t="inlineStr">
        <is>
          <t>Passed</t>
        </is>
      </c>
      <c r="L48" s="49" t="inlineStr">
        <is>
          <t>https://jam.dev/c/3572f7bd-7456-4791-8ec0-424054bd2190</t>
        </is>
      </c>
      <c r="M48" s="41" t="n"/>
      <c r="N48" s="41" t="inlineStr">
        <is>
          <t>Spec 6.5, Spec 6.4
→ "Search/filter by Ringi ID, subject, applicant, department, amount range, status, and period."</t>
        </is>
      </c>
      <c r="O48" s="3" t="n"/>
      <c r="P48" s="3" t="n"/>
      <c r="Q48" s="3" t="n"/>
      <c r="R48" s="3" t="n"/>
      <c r="S48" s="3" t="n"/>
      <c r="T48" s="3" t="n"/>
      <c r="U48" s="3" t="n"/>
      <c r="V48" s="3" t="n"/>
      <c r="W48" s="3" t="n"/>
      <c r="X48" s="3" t="n"/>
      <c r="Y48" s="3" t="n"/>
      <c r="Z48" s="3" t="n"/>
    </row>
    <row r="49" ht="60" customHeight="1" s="54">
      <c r="A49" s="35" t="inlineStr">
        <is>
          <t>KT-AIC-013</t>
        </is>
      </c>
      <c r="B49" s="41" t="inlineStr">
        <is>
          <t>AI Chat</t>
        </is>
      </c>
      <c r="C49" s="41" t="inlineStr">
        <is>
          <t>Quick action card usage</t>
        </is>
      </c>
      <c r="D49" s="41" t="inlineStr">
        <is>
          <t>Use quick action card "Create submission from docs"</t>
        </is>
      </c>
      <c r="E49" s="44" t="inlineStr">
        <is>
          <t>Basic</t>
        </is>
      </c>
      <c r="F49" s="41" t="inlineStr">
        <is>
          <t>Login as staff@gmail.com</t>
        </is>
      </c>
      <c r="G49" s="41" t="inlineStr">
        <is>
          <t>1. Login staff@gmail.com
2. Go to new chat at / (empty state)
3. Observe 3 action cards: 'Create submission from docs', 'Find approval evidence', 'Review submission status'
4. Click 'Create submission from docs'
5. Follow AI prompt → upload ringi_en_form_laptop_purchase.docx
6. Review AI workflow</t>
        </is>
      </c>
      <c r="H49" s="41" t="inlineStr">
        <is>
          <t>All 3 action cards visible. Clicking triggers AI workflow. AI prompts for doc upload. After uploading, AI processes for submission creation.</t>
        </is>
      </c>
      <c r="I49" s="41" t="inlineStr">
        <is>
          <t>(none)</t>
        </is>
      </c>
      <c r="J49" s="45" t="inlineStr">
        <is>
          <t>P2</t>
        </is>
      </c>
      <c r="K49" s="39" t="inlineStr">
        <is>
          <t>Passed</t>
        </is>
      </c>
      <c r="L49" s="53" t="inlineStr">
        <is>
          <t>https://jam.dev/c/b29bbd40-08df-40c9-aa35-c1ede9fad64a</t>
        </is>
      </c>
      <c r="M49" s="41" t="n"/>
      <c r="N49" s="41" t="inlineStr">
        <is>
          <t>Spec 5 (Business Flow), Spec 6.4, Spec 9 (UI/UX)
→ "Initiator opens the Ringi initiation form via chat, enters required items and attachments, and submits."</t>
        </is>
      </c>
      <c r="O49" s="3" t="n"/>
      <c r="P49" s="3" t="n"/>
      <c r="Q49" s="3" t="n"/>
      <c r="R49" s="3" t="n"/>
      <c r="S49" s="3" t="n"/>
      <c r="T49" s="3" t="n"/>
      <c r="U49" s="3" t="n"/>
      <c r="V49" s="3" t="n"/>
      <c r="W49" s="3" t="n"/>
      <c r="X49" s="3" t="n"/>
      <c r="Y49" s="3" t="n"/>
      <c r="Z49" s="3" t="n"/>
    </row>
    <row r="50" ht="15.75" customHeight="1" s="54">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54">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54">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54">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54">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54">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54">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54">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54">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54">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54">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54">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54">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5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54">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54">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54">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54">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54">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54">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54">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54">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54">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5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54">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54">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5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5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5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5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5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5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5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5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5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5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5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5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5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5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5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5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5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5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5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5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5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5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5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5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5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5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5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5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5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5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5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5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5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5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5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5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5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5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5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5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5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5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5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5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5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5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5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5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5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5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5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5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5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5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5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5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5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5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5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5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5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5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5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5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5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5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5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5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5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5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5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5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5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5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5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5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5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5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5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5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5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5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5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5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5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5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5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5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5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5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5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5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5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5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5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5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5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5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5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5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5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5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5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5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5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5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5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5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5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5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5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5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5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5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5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5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5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5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5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5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5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5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5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5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5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5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5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5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5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5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5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5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5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5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5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5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5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5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5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5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5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5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5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5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5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5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5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5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5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5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5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5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5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5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5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5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5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54">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54">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54">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54">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54">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54">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54">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54">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54">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5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54">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54">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54">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54">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54">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54">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54">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54">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54">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54">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54">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54">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54">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54">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54">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54">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54">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54">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5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54">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54">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54">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54">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54">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54">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54">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54">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54">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5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54">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54">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54">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54">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54">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54">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54">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54">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54">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5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54">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54">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54">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54">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54">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54">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54">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54">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54">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5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54">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54">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54">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54">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54">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54">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54">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54">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54">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5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54">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54">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54">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54">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54">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54">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54">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54">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54">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5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54">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54">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54">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54">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54">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54">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54">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54">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54">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5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54">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54">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54">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54">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54">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54">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54">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54">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54">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5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54">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54">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54">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54">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54">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54">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54">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54">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54">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5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54">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54">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54">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54">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54">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54">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54">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54">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54">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54">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54">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54">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54">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54">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54">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54">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54">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54">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5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54">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54">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54">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54">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54">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54">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54">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54">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54">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5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54">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54">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54">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54">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54">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54">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54">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54">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54">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5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54">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54">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54">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54">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54">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54">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54">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54">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54">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5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54">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54">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54">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54">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54">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54">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54">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54">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54">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5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54">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54">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54">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54">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54">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54">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54">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54">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54">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5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54">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54">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54">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54">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54">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54">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54">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54">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54">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5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54">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54">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54">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54">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54">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54">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54">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54">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54">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5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54">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54">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54">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54">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54">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54">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54">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54">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54">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5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54">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5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5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5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5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5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5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5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5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5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5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5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5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5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5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5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5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5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5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5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5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5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5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5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5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5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5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5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5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5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5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5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5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5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5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5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5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5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5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5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5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5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5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5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5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5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5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5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5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5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5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5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5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5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5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5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5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5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5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5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5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5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5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5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5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5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5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5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5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5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5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5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5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5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5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5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5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5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5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5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5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5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5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5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5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5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5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5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5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5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5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5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5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5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5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5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5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5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5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5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5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5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5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5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5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5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5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5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5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5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5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5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5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5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5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5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5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5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5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5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5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5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5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5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5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5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5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5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5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5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5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5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5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5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5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5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5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5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5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5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5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5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5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5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5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5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5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5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5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5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5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5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5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5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5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5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5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5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5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5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5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5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5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5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5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5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5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5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5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5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5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5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5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5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5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5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5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5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5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5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5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5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5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5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5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5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5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5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5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5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5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5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5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5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5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5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5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5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5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5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5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5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5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5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5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5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5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5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5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5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5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5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5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5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5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5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5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5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5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5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5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5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5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5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5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5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5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5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5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5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5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5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5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5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5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5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5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5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5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5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5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5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5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5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5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5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5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5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5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5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5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5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5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5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5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5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5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5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5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5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5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5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5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5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5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5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5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5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5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5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5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5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5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5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5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5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5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5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5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5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5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5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5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5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5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5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5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5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5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5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5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5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5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5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5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5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5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5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5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5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5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5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5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5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5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5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5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5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5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5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5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5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5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5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5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5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5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5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5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5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5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5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5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5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5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5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5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5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5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5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5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5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5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5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5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5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5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5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5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5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5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5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5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5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5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5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5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5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5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5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5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5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5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5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5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5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5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5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5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5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5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5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5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5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5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5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5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5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5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5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5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5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5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5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5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5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5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5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5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5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5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5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5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5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5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5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5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5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5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5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5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5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5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5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5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5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5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5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5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5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5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5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5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5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5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5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5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5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5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5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5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5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5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5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5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5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5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5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5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5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5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5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5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5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5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5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5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5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5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5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5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5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5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5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5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5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5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5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5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5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5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5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5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5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5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5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5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5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5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5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5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5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5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5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5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5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5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5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5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5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5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5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5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5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5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5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5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5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5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5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5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5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5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5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5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5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5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5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5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5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5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5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5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5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5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5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5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5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5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5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5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5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5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5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5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5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5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5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5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5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5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5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5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5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5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5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5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5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5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5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5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5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5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5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5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5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5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5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5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5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5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5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5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5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5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5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5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5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5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5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5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5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5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5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5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5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5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5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5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5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5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5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5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5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5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5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5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5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5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54">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autoFilter ref="$A$1:$M$44"/>
  <dataValidations count="3">
    <dataValidation sqref="J2:J49" showDropDown="0" showInputMessage="0" showErrorMessage="0" allowBlank="1" type="list">
      <formula1>"P1,P2,P3"</formula1>
    </dataValidation>
    <dataValidation sqref="K2:K49" showDropDown="0" showInputMessage="0" showErrorMessage="0" allowBlank="1" type="list">
      <formula1>"Passed,Partial Pass,Failed,N/A,Blocked"</formula1>
    </dataValidation>
    <dataValidation sqref="E2:E49" showDropDown="0" showInputMessage="0" showErrorMessage="0" allowBlank="1" type="list">
      <formula1>"Main,Basic,Edge Case"</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6" r:id="rId12"/>
    <hyperlink xmlns:r="http://schemas.openxmlformats.org/officeDocument/2006/relationships" ref="L18" r:id="rId13"/>
    <hyperlink xmlns:r="http://schemas.openxmlformats.org/officeDocument/2006/relationships" ref="L20" r:id="rId14"/>
    <hyperlink xmlns:r="http://schemas.openxmlformats.org/officeDocument/2006/relationships" ref="L21" r:id="rId15"/>
    <hyperlink xmlns:r="http://schemas.openxmlformats.org/officeDocument/2006/relationships" ref="L22" r:id="rId16"/>
    <hyperlink xmlns:r="http://schemas.openxmlformats.org/officeDocument/2006/relationships" ref="L23" r:id="rId17"/>
    <hyperlink xmlns:r="http://schemas.openxmlformats.org/officeDocument/2006/relationships" ref="L24" r:id="rId18"/>
    <hyperlink xmlns:r="http://schemas.openxmlformats.org/officeDocument/2006/relationships" ref="L25" r:id="rId19"/>
    <hyperlink xmlns:r="http://schemas.openxmlformats.org/officeDocument/2006/relationships" ref="L26" r:id="rId20"/>
    <hyperlink xmlns:r="http://schemas.openxmlformats.org/officeDocument/2006/relationships" ref="L27" r:id="rId21"/>
    <hyperlink xmlns:r="http://schemas.openxmlformats.org/officeDocument/2006/relationships" ref="L28" r:id="rId22"/>
    <hyperlink xmlns:r="http://schemas.openxmlformats.org/officeDocument/2006/relationships" ref="L29" r:id="rId23"/>
    <hyperlink xmlns:r="http://schemas.openxmlformats.org/officeDocument/2006/relationships" ref="L30" r:id="rId24"/>
    <hyperlink xmlns:r="http://schemas.openxmlformats.org/officeDocument/2006/relationships" ref="L31" r:id="rId25"/>
    <hyperlink xmlns:r="http://schemas.openxmlformats.org/officeDocument/2006/relationships" ref="L32" r:id="rId26"/>
    <hyperlink xmlns:r="http://schemas.openxmlformats.org/officeDocument/2006/relationships" ref="L33" r:id="rId27"/>
    <hyperlink xmlns:r="http://schemas.openxmlformats.org/officeDocument/2006/relationships" ref="L36" r:id="rId28"/>
    <hyperlink xmlns:r="http://schemas.openxmlformats.org/officeDocument/2006/relationships" ref="L39" r:id="rId29"/>
    <hyperlink xmlns:r="http://schemas.openxmlformats.org/officeDocument/2006/relationships" ref="L43" r:id="rId30"/>
    <hyperlink xmlns:r="http://schemas.openxmlformats.org/officeDocument/2006/relationships" ref="L44" r:id="rId31"/>
    <hyperlink xmlns:r="http://schemas.openxmlformats.org/officeDocument/2006/relationships" ref="L45" r:id="rId32"/>
    <hyperlink xmlns:r="http://schemas.openxmlformats.org/officeDocument/2006/relationships" ref="L46" r:id="rId33"/>
    <hyperlink xmlns:r="http://schemas.openxmlformats.org/officeDocument/2006/relationships" ref="L47" r:id="rId34"/>
    <hyperlink xmlns:r="http://schemas.openxmlformats.org/officeDocument/2006/relationships" ref="L48" r:id="rId35"/>
    <hyperlink xmlns:r="http://schemas.openxmlformats.org/officeDocument/2006/relationships" ref="L49" r:id="rId36"/>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8"/>
  <sheetViews>
    <sheetView workbookViewId="0">
      <selection activeCell="A1" sqref="A1"/>
    </sheetView>
  </sheetViews>
  <sheetFormatPr baseColWidth="8" defaultRowHeight="15"/>
  <cols>
    <col width="14" customWidth="1" style="54" min="1" max="1"/>
    <col width="20" customWidth="1" style="54" min="2" max="2"/>
    <col width="22" customWidth="1" style="54" min="3" max="3"/>
    <col width="42" customWidth="1" style="54" min="4" max="4"/>
    <col width="32" customWidth="1" style="54" min="5" max="5"/>
    <col width="65" customWidth="1" style="54" min="6" max="6"/>
    <col width="48" customWidth="1" style="54" min="7" max="7"/>
    <col width="10" customWidth="1" style="54" min="8" max="8"/>
    <col width="24" customWidth="1" style="54" min="9" max="9"/>
    <col width="38" customWidth="1" style="54" min="10" max="10"/>
    <col width="42" customWidth="1" style="54" min="11" max="11"/>
    <col width="17.86" customWidth="1" style="54" min="12" max="12"/>
    <col width="8.710000000000001" customWidth="1" style="54" min="13" max="13"/>
    <col width="13" customWidth="1" style="54" min="14" max="14"/>
    <col width="42.43" customWidth="1" style="54" min="15" max="15"/>
    <col width="13" customWidth="1" style="54" min="16" max="16"/>
    <col width="13" customWidth="1" style="54" min="17" max="17"/>
    <col width="13" customWidth="1" style="54" min="18" max="18"/>
    <col width="13" customWidth="1" style="54" min="19" max="19"/>
    <col width="13" customWidth="1" style="54" min="20" max="20"/>
    <col width="13" customWidth="1" style="54" min="21" max="21"/>
    <col width="13" customWidth="1" style="54" min="22" max="22"/>
    <col width="13" customWidth="1" style="54" min="23" max="23"/>
    <col width="13" customWidth="1" style="54" min="24" max="24"/>
    <col width="13" customWidth="1" style="54" min="25" max="25"/>
    <col width="13" customWidth="1" style="54" min="26" max="26"/>
  </cols>
  <sheetData>
    <row r="1">
      <c r="A1" s="1" t="inlineStr">
        <is>
          <t>テストケースID</t>
        </is>
      </c>
      <c r="B1" s="1" t="inlineStr">
        <is>
          <t>カテゴリ</t>
        </is>
      </c>
      <c r="C1" s="1" t="inlineStr">
        <is>
          <t>機能</t>
        </is>
      </c>
      <c r="D1" s="1" t="inlineStr">
        <is>
          <t>テストケースタイトル</t>
        </is>
      </c>
      <c r="E1" s="1" t="inlineStr">
        <is>
          <t>前提条件</t>
        </is>
      </c>
      <c r="F1" s="1" t="inlineStr">
        <is>
          <t>テスト手順</t>
        </is>
      </c>
      <c r="G1" s="1" t="inlineStr">
        <is>
          <t>期待結果</t>
        </is>
      </c>
      <c r="H1" s="1" t="inlineStr">
        <is>
          <t>優先度</t>
        </is>
      </c>
      <c r="I1" s="1" t="inlineStr">
        <is>
          <t>実装状況</t>
        </is>
      </c>
      <c r="J1" s="1" t="inlineStr">
        <is>
          <t>備考</t>
        </is>
      </c>
      <c r="K1" s="1" t="inlineStr">
        <is>
          <t>URL</t>
        </is>
      </c>
      <c r="L1" s="2" t="inlineStr">
        <is>
          <t>合否</t>
        </is>
      </c>
      <c r="M1" s="2" t="inlineStr">
        <is>
          <t>リンク</t>
        </is>
      </c>
      <c r="N1" s="2" t="inlineStr">
        <is>
          <t>備考</t>
        </is>
      </c>
      <c r="O1" s="1" t="inlineStr">
        <is>
          <t>仕様書参照</t>
        </is>
      </c>
      <c r="P1" s="3" t="n"/>
      <c r="Q1" s="3" t="n"/>
      <c r="R1" s="3" t="n"/>
      <c r="S1" s="3" t="n"/>
      <c r="T1" s="3" t="n"/>
      <c r="U1" s="3" t="n"/>
      <c r="V1" s="3" t="n"/>
      <c r="W1" s="3" t="n"/>
      <c r="X1" s="3" t="n"/>
      <c r="Y1" s="3" t="n"/>
      <c r="Z1" s="3" t="n"/>
    </row>
    <row r="2">
      <c r="A2" s="13" t="inlineStr">
        <is>
          <t>TC-SUB-001</t>
        </is>
      </c>
      <c r="B2" s="13" t="inlineStr">
        <is>
          <t>申請</t>
        </is>
      </c>
      <c r="C2" s="13" t="inlineStr">
        <is>
          <t>フォーム項目</t>
        </is>
      </c>
      <c r="D2" s="13" t="inlineStr">
        <is>
          <t>全必須項目を入力して稟議を申請</t>
        </is>
      </c>
      <c r="E2" s="13" t="inlineStr">
        <is>
          <t>従業員としてログイン済み</t>
        </is>
      </c>
      <c r="F2" s="13" t="inlineStr">
        <is>
          <t>1. アプリURLに移動する
2. 「新規申請」ボタンをクリック
3. タイトルを入力: 'Office Supplies Purchase'
4. カテゴリを選択: 'Purchasing'
5. 取引先名を入力: 'ABC Corp'
6. 項目を追加: Name='Printer', Qty=2, Amount=50000
7. 優先度を選択: 'High'
8. 期限日を設定
9. 部門を入力: 'Engineering'
10. 購入理由を入力
11. 目的を入力
12. 「送信」をクリック</t>
        </is>
      </c>
      <c r="G2" s="13" t="inlineStr">
        <is>
          <t>ステータス「保留中」で稟議が作成される. ダッシュボードにカードが表示される. アクティビティログに作成が記録される.</t>
        </is>
      </c>
      <c r="H2" s="5" t="inlineStr">
        <is>
          <t>P1</t>
        </is>
      </c>
      <c r="I2" s="6" t="inlineStr">
        <is>
          <t>実装済み</t>
        </is>
      </c>
      <c r="J2" s="13" t="inlineStr">
        <is>
          <t>現在のフォーム項目で基本的な申請フローが動作</t>
        </is>
      </c>
      <c r="K2" s="13" t="inlineStr">
        <is>
          <t>https://eb-filemg-development.vercel.app</t>
        </is>
      </c>
      <c r="L2" s="7" t="inlineStr">
        <is>
          <t>N/A</t>
        </is>
      </c>
      <c r="M2" s="8" t="n"/>
      <c r="N2" s="8" t="n"/>
      <c r="O2" s="13" t="inlineStr">
        <is>
          <t>Spec 6.1 (申請)
→ "フォーム項目: Subject, Category (Purchasing, Contracts, Expenses, Misc.), Amount (tax incl./excl.), Tax category, Payment terms, Vendor/Counterparty, Purpose, Period, Budget code, Project, Desired approval date, Applicant/Department."</t>
        </is>
      </c>
      <c r="P2" s="3" t="n"/>
      <c r="Q2" s="3" t="n"/>
      <c r="R2" s="3" t="n"/>
      <c r="S2" s="3" t="n"/>
      <c r="T2" s="3" t="n"/>
      <c r="U2" s="3" t="n"/>
      <c r="V2" s="3" t="n"/>
      <c r="W2" s="3" t="n"/>
      <c r="X2" s="3" t="n"/>
      <c r="Y2" s="3" t="n"/>
      <c r="Z2" s="3" t="n"/>
    </row>
    <row r="3">
      <c r="A3" s="13" t="inlineStr">
        <is>
          <t>TC-SUB-002</t>
        </is>
      </c>
      <c r="B3" s="13" t="inlineStr">
        <is>
          <t>申請</t>
        </is>
      </c>
      <c r="C3" s="13" t="inlineStr">
        <is>
          <t>税計算</t>
        </is>
      </c>
      <c r="D3" s="13" t="inlineStr">
        <is>
          <t>税込計算で稟議を申請</t>
        </is>
      </c>
      <c r="E3" s="13" t="inlineStr">
        <is>
          <t>ログイン済み、カテゴリは購買</t>
        </is>
      </c>
      <c r="F3" s="13" t="inlineStr">
        <is>
          <t>1. 「新規申請」をクリック
2. カテゴリを選択: 'Purchasing'
3. 「税金を使用」をONに切り替え
4. 「税込」に切り替え
5. 税率を入力: 10%
6. 項目を追加: Amount=110000
7. 残りの必須項目を入力
8. 「送信」をクリック</t>
        </is>
      </c>
      <c r="G3" s="13" t="inlineStr">
        <is>
          <t>税金が正しく計算される. 金額が税込ラベルで表示される. 合計が税計算を反映する.</t>
        </is>
      </c>
      <c r="H3" s="9" t="inlineStr">
        <is>
          <t>P2</t>
        </is>
      </c>
      <c r="I3" s="6" t="inlineStr">
        <is>
          <t>実装済み</t>
        </is>
      </c>
      <c r="J3" s="13" t="inlineStr">
        <is>
          <t>税金切替は購買カテゴリでのみ表示</t>
        </is>
      </c>
      <c r="K3" s="13" t="inlineStr">
        <is>
          <t>https://eb-filemg-development.vercel.app</t>
        </is>
      </c>
      <c r="L3" s="7" t="inlineStr">
        <is>
          <t>N/A</t>
        </is>
      </c>
      <c r="M3" s="8" t="n"/>
      <c r="N3" s="8" t="n"/>
      <c r="O3" s="13" t="inlineStr">
        <is>
          <t>Spec 6.1 (申請)
→ "フォーム項目: Subject, Category (Purchasing, Contracts, Expenses, Misc.), Amount (tax incl./excl.), Tax category, Payment terms, Vendor/Counterparty, Purpose, Period, Budget code, Project, Desired approval date, Applicant/Department."</t>
        </is>
      </c>
      <c r="P3" s="3" t="n"/>
      <c r="Q3" s="3" t="n"/>
      <c r="R3" s="3" t="n"/>
      <c r="S3" s="3" t="n"/>
      <c r="T3" s="3" t="n"/>
      <c r="U3" s="3" t="n"/>
      <c r="V3" s="3" t="n"/>
      <c r="W3" s="3" t="n"/>
      <c r="X3" s="3" t="n"/>
      <c r="Y3" s="3" t="n"/>
      <c r="Z3" s="3" t="n"/>
    </row>
    <row r="4">
      <c r="A4" s="13" t="inlineStr">
        <is>
          <t>TC-SUB-003</t>
        </is>
      </c>
      <c r="B4" s="13" t="inlineStr">
        <is>
          <t>申請</t>
        </is>
      </c>
      <c r="C4" s="13" t="inlineStr">
        <is>
          <t>税計算</t>
        </is>
      </c>
      <c r="D4" s="13" t="inlineStr">
        <is>
          <t>税抜計算で稟議を申請</t>
        </is>
      </c>
      <c r="E4" s="13" t="inlineStr">
        <is>
          <t>ログイン済み、カテゴリは購買</t>
        </is>
      </c>
      <c r="F4" s="13" t="inlineStr">
        <is>
          <t>1. 「新規申請」をクリック
2. カテゴリを選択: 'Purchasing'
3. 「税金を使用」をONに切り替え
4. 「税抜」に切り替え
5. 税率を入力: 10%
6. 項目を追加: Amount=100000
7. 残りの必須項目を入力
8. 「送信」をクリック</t>
        </is>
      </c>
      <c r="G4" s="13" t="inlineStr">
        <is>
          <t>Tax calculated on top of amount. 税抜金額 + 税 = 合計が表示される.</t>
        </is>
      </c>
      <c r="H4" s="9" t="inlineStr">
        <is>
          <t>P2</t>
        </is>
      </c>
      <c r="I4" s="6" t="inlineStr">
        <is>
          <t>実装済み</t>
        </is>
      </c>
      <c r="J4" s="13" t="inlineStr">
        <is>
          <t>税抜は基本金額に税金を加算</t>
        </is>
      </c>
      <c r="K4" s="13" t="inlineStr">
        <is>
          <t>https://eb-filemg-development.vercel.app</t>
        </is>
      </c>
      <c r="L4" s="7" t="inlineStr">
        <is>
          <t>N/A</t>
        </is>
      </c>
      <c r="M4" s="8" t="n"/>
      <c r="N4" s="8" t="n"/>
      <c r="O4" s="13" t="inlineStr">
        <is>
          <t>Spec 6.1 (申請)
→ "フォーム項目: Subject, Category (Purchasing, Contracts, Expenses, Misc.), Amount (tax incl./excl.), Tax category, Payment terms, Vendor/Counterparty, Purpose, Period, Budget code, Project, Desired approval date, Applicant/Department."</t>
        </is>
      </c>
      <c r="P4" s="3" t="n"/>
      <c r="Q4" s="3" t="n"/>
      <c r="R4" s="3" t="n"/>
      <c r="S4" s="3" t="n"/>
      <c r="T4" s="3" t="n"/>
      <c r="U4" s="3" t="n"/>
      <c r="V4" s="3" t="n"/>
      <c r="W4" s="3" t="n"/>
      <c r="X4" s="3" t="n"/>
      <c r="Y4" s="3" t="n"/>
      <c r="Z4" s="3" t="n"/>
    </row>
    <row r="5">
      <c r="A5" s="13" t="inlineStr">
        <is>
          <t>TC-SUB-004</t>
        </is>
      </c>
      <c r="B5" s="13" t="inlineStr">
        <is>
          <t>申請</t>
        </is>
      </c>
      <c r="C5" s="13" t="inlineStr">
        <is>
          <t>明細項目</t>
        </is>
      </c>
      <c r="D5" s="13" t="inlineStr">
        <is>
          <t>複数明細項目で稟議を申請</t>
        </is>
      </c>
      <c r="E5" s="13" t="inlineStr">
        <is>
          <t>ログイン済み</t>
        </is>
      </c>
      <c r="F5" s="13" t="inlineStr">
        <is>
          <t>1. 「新規申請」をクリック
2. 必須項目を入力
3. 項目1を追加: 'Laptop', Qty=5, Amount=200000
4. 「項目追加」をクリック
5. 項目2を追加: 'Mouse', Qty=5, Amount=5000
6. 「項目追加」をクリック
7. 項目3を追加: 'Keyboard', Qty=5, Amount=8000
8. 合計が自動計算されることを確認
9. 「送信」をクリック</t>
        </is>
      </c>
      <c r="G5" s="13" t="inlineStr">
        <is>
          <t>3つの項目すべてが保存される. Total amount = (200000x5 + 5000x5 + 8000x5) = 1,065,000. 詳細ページに項目テーブルが正しく表示される.</t>
        </is>
      </c>
      <c r="H5" s="9" t="inlineStr">
        <is>
          <t>P2</t>
        </is>
      </c>
      <c r="I5" s="6" t="inlineStr">
        <is>
          <t>実装済み</t>
        </is>
      </c>
      <c r="J5" s="13" t="inlineStr">
        <is>
          <t>項目はJSONB配列として保存</t>
        </is>
      </c>
      <c r="K5" s="13" t="inlineStr">
        <is>
          <t>https://eb-filemg-development.vercel.app</t>
        </is>
      </c>
      <c r="L5" s="7" t="inlineStr">
        <is>
          <t>N/A</t>
        </is>
      </c>
      <c r="M5" s="8" t="n"/>
      <c r="N5" s="8" t="n"/>
      <c r="O5" s="13" t="inlineStr">
        <is>
          <t>Spec 6.1 (申請)
→ "フォーム項目: Subject, Category (Purchasing, Contracts, Expenses, Misc.), Amount (tax incl./excl.), Tax category, Payment terms, Vendor/Counterparty, Purpose, Period, Budget code, Project, Desired approval date, Applicant/Department."</t>
        </is>
      </c>
      <c r="P5" s="3" t="n"/>
      <c r="Q5" s="3" t="n"/>
      <c r="R5" s="3" t="n"/>
      <c r="S5" s="3" t="n"/>
      <c r="T5" s="3" t="n"/>
      <c r="U5" s="3" t="n"/>
      <c r="V5" s="3" t="n"/>
      <c r="W5" s="3" t="n"/>
      <c r="X5" s="3" t="n"/>
      <c r="Y5" s="3" t="n"/>
      <c r="Z5" s="3" t="n"/>
    </row>
    <row r="6">
      <c r="A6" s="13" t="inlineStr">
        <is>
          <t>TC-SUB-005</t>
        </is>
      </c>
      <c r="B6" s="13" t="inlineStr">
        <is>
          <t>申請</t>
        </is>
      </c>
      <c r="C6" s="13" t="inlineStr">
        <is>
          <t>バリデーション</t>
        </is>
      </c>
      <c r="D6" s="13" t="inlineStr">
        <is>
          <t>必須項目未入力で稟議を申請（バリデーション）</t>
        </is>
      </c>
      <c r="E6" s="13" t="inlineStr">
        <is>
          <t>ログイン済み</t>
        </is>
      </c>
      <c r="F6" s="13" t="inlineStr">
        <is>
          <t>1. 「新規申請」をクリック
2. タイトルを空のままにする
3. 取引先名を空のままにする
4. 項目を追加しない
5. 「送信」をクリック</t>
        </is>
      </c>
      <c r="G6" s="13" t="inlineStr">
        <is>
          <t>全必須項目にフォームバリデーションエラーが表示される. 申請がブロックされる. 現在の言語でエラーメッセージが表示される (EN/JA).</t>
        </is>
      </c>
      <c r="H6" s="5" t="inlineStr">
        <is>
          <t>P1</t>
        </is>
      </c>
      <c r="I6" s="6" t="inlineStr">
        <is>
          <t>実装済み</t>
        </is>
      </c>
      <c r="J6" s="13" t="inlineStr">
        <is>
          <t>Yupバリデーションスキーマが必須項目を強制</t>
        </is>
      </c>
      <c r="K6" s="13" t="inlineStr">
        <is>
          <t>https://eb-filemg-development.vercel.app</t>
        </is>
      </c>
      <c r="L6" s="7" t="inlineStr">
        <is>
          <t>N/A</t>
        </is>
      </c>
      <c r="M6" s="8" t="n"/>
      <c r="N6" s="8" t="n"/>
      <c r="O6" s="13" t="inlineStr">
        <is>
          <t>Spec 6.1 (申請)
→ "フォーム項目: Subject, Category (Purchasing, Contracts, Expenses, Misc.), Amount (tax incl./excl.), Tax category, Payment terms, Vendor/Counterparty, Purpose, Period, Budget code, Project, Desired approval date, Applicant/Department."</t>
        </is>
      </c>
      <c r="P6" s="3" t="n"/>
      <c r="Q6" s="3" t="n"/>
      <c r="R6" s="3" t="n"/>
      <c r="S6" s="3" t="n"/>
      <c r="T6" s="3" t="n"/>
      <c r="U6" s="3" t="n"/>
      <c r="V6" s="3" t="n"/>
      <c r="W6" s="3" t="n"/>
      <c r="X6" s="3" t="n"/>
      <c r="Y6" s="3" t="n"/>
      <c r="Z6" s="3" t="n"/>
    </row>
    <row r="7">
      <c r="A7" s="13" t="inlineStr">
        <is>
          <t>TC-SUB-006</t>
        </is>
      </c>
      <c r="B7" s="13" t="inlineStr">
        <is>
          <t>申請</t>
        </is>
      </c>
      <c r="C7" s="13" t="inlineStr">
        <is>
          <t>添付ファイル</t>
        </is>
      </c>
      <c r="D7" s="13" t="inlineStr">
        <is>
          <t>書類添付付きで稟議を申請</t>
        </is>
      </c>
      <c r="E7" s="13" t="inlineStr">
        <is>
          <t>ログイン済み、システムにドキュメントが存在</t>
        </is>
      </c>
      <c r="F7" s="13" t="inlineStr">
        <is>
          <t>1. 「新規申請」をクリック
2. 必須項目をすべて入力
3. In attachments section, upload a PDF file
4. 2つ目の画像ファイルをアップロード
5. 「送信」をクリック
6. に移動する detail page</t>
        </is>
      </c>
      <c r="G7" s="13" t="inlineStr">
        <is>
          <t>両方の添付ファイルが稟議にリンクされる. 詳細ページにダウンロードリンク付きファイルカードが表示される.</t>
        </is>
      </c>
      <c r="H7" s="9" t="inlineStr">
        <is>
          <t>P2</t>
        </is>
      </c>
      <c r="I7" s="6" t="inlineStr">
        <is>
          <t>実装済み</t>
        </is>
      </c>
      <c r="J7" s="13" t="inlineStr">
        <is>
          <t>approval_request_documents結合テーブルを使用</t>
        </is>
      </c>
      <c r="K7" s="13" t="inlineStr">
        <is>
          <t>https://eb-filemg-development.vercel.app</t>
        </is>
      </c>
      <c r="L7" s="7" t="inlineStr">
        <is>
          <t>N/A</t>
        </is>
      </c>
      <c r="M7" s="8" t="n"/>
      <c r="N7" s="8" t="n"/>
      <c r="O7" s="13" t="inlineStr">
        <is>
          <t>Spec 6.1 (申請)
→ "添付ファイル: Quotes, contracts, and related materials. 承認後の改ざん不可（新バージョンとして再申請が必要）."</t>
        </is>
      </c>
      <c r="P7" s="3" t="n"/>
      <c r="Q7" s="3" t="n"/>
      <c r="R7" s="3" t="n"/>
      <c r="S7" s="3" t="n"/>
      <c r="T7" s="3" t="n"/>
      <c r="U7" s="3" t="n"/>
      <c r="V7" s="3" t="n"/>
      <c r="W7" s="3" t="n"/>
      <c r="X7" s="3" t="n"/>
      <c r="Y7" s="3" t="n"/>
      <c r="Z7" s="3" t="n"/>
    </row>
    <row r="8">
      <c r="A8" s="13" t="inlineStr">
        <is>
          <t>TC-SUB-008</t>
        </is>
      </c>
      <c r="B8" s="13" t="inlineStr">
        <is>
          <t>申請</t>
        </is>
      </c>
      <c r="C8" s="13" t="inlineStr">
        <is>
          <t>フォーム項目</t>
        </is>
      </c>
      <c r="D8" s="13" t="inlineStr">
        <is>
          <t>フォームに予算コード項目が存在するか確認</t>
        </is>
      </c>
      <c r="E8" s="13" t="inlineStr">
        <is>
          <t>ログイン済み</t>
        </is>
      </c>
      <c r="F8" s="13" t="inlineStr">
        <is>
          <t>1. 「新規申請」をクリック
2. を探す 'Budget Code' field in the form
3. 予算コードの値を入力</t>
        </is>
      </c>
      <c r="G8" s="13" t="inlineStr">
        <is>
          <t>Budget Code 項目が存在し入力可能. 値が稟議と共に保存される.</t>
        </is>
      </c>
      <c r="H8" s="11" t="inlineStr">
        <is>
          <t>P3</t>
        </is>
      </c>
      <c r="I8" s="10" t="inlineStr">
        <is>
          <t>未実装</t>
        </is>
      </c>
      <c r="J8" s="13" t="inlineStr">
        <is>
          <t>仕様書セクション8にbudget_codeが必要。現在のスキーマにはない。</t>
        </is>
      </c>
      <c r="K8" s="13" t="inlineStr">
        <is>
          <t>https://eb-filemg-development.vercel.app</t>
        </is>
      </c>
      <c r="L8" s="7" t="inlineStr">
        <is>
          <t>N/A</t>
        </is>
      </c>
      <c r="M8" s="8" t="n"/>
      <c r="N8" s="8" t="n"/>
      <c r="O8" s="13" t="inlineStr">
        <is>
          <t>Spec 6.1 (申請)
→ "フォーム項目: Subject, Category (Purchasing, Contracts, Expenses, Misc.), Amount (tax incl./excl.), Tax category, Payment terms, Vendor/Counterparty, Purpose, Period, Budget code, Project, Desired approval date, Applicant/Department."</t>
        </is>
      </c>
      <c r="P8" s="3" t="n"/>
      <c r="Q8" s="3" t="n"/>
      <c r="R8" s="3" t="n"/>
      <c r="S8" s="3" t="n"/>
      <c r="T8" s="3" t="n"/>
      <c r="U8" s="3" t="n"/>
      <c r="V8" s="3" t="n"/>
      <c r="W8" s="3" t="n"/>
      <c r="X8" s="3" t="n"/>
      <c r="Y8" s="3" t="n"/>
      <c r="Z8" s="3" t="n"/>
    </row>
    <row r="9">
      <c r="A9" s="13" t="inlineStr">
        <is>
          <t>TC-SUB-009</t>
        </is>
      </c>
      <c r="B9" s="13" t="inlineStr">
        <is>
          <t>申請</t>
        </is>
      </c>
      <c r="C9" s="13" t="inlineStr">
        <is>
          <t>フォーム項目</t>
        </is>
      </c>
      <c r="D9" s="13" t="inlineStr">
        <is>
          <t>フォームにプロジェクトコード項目が存在するか確認</t>
        </is>
      </c>
      <c r="E9" s="13" t="inlineStr">
        <is>
          <t>ログイン済み</t>
        </is>
      </c>
      <c r="F9" s="13" t="inlineStr">
        <is>
          <t>1. 「新規申請」をクリック
2. を探す 'Project Code' field in the form
3. プロジェクトコードの値を入力</t>
        </is>
      </c>
      <c r="G9" s="13" t="inlineStr">
        <is>
          <t>Project Code 項目が存在し入力可能. 値が稟議と共に保存される.</t>
        </is>
      </c>
      <c r="H9" s="11" t="inlineStr">
        <is>
          <t>P3</t>
        </is>
      </c>
      <c r="I9" s="10" t="inlineStr">
        <is>
          <t>未実装</t>
        </is>
      </c>
      <c r="J9" s="13" t="inlineStr">
        <is>
          <t>仕様書セクション8にproject_codeが必要。現在のスキーマにはない。</t>
        </is>
      </c>
      <c r="K9" s="13" t="inlineStr">
        <is>
          <t>https://eb-filemg-development.vercel.app</t>
        </is>
      </c>
      <c r="L9" s="7" t="inlineStr">
        <is>
          <t>N/A</t>
        </is>
      </c>
      <c r="M9" s="8" t="n"/>
      <c r="N9" s="8" t="n"/>
      <c r="O9" s="13" t="inlineStr">
        <is>
          <t>Spec 6.1 (申請)
→ "フォーム項目: Subject, Category (Purchasing, Contracts, Expenses, Misc.), Amount (tax incl./excl.), Tax category, Payment terms, Vendor/Counterparty, Purpose, Period, Budget code, Project, Desired approval date, Applicant/Department."</t>
        </is>
      </c>
      <c r="P9" s="3" t="n"/>
      <c r="Q9" s="3" t="n"/>
      <c r="R9" s="3" t="n"/>
      <c r="S9" s="3" t="n"/>
      <c r="T9" s="3" t="n"/>
      <c r="U9" s="3" t="n"/>
      <c r="V9" s="3" t="n"/>
      <c r="W9" s="3" t="n"/>
      <c r="X9" s="3" t="n"/>
      <c r="Y9" s="3" t="n"/>
      <c r="Z9" s="3" t="n"/>
    </row>
    <row r="10">
      <c r="A10" s="13" t="inlineStr">
        <is>
          <t>TC-SUB-010</t>
        </is>
      </c>
      <c r="B10" s="13" t="inlineStr">
        <is>
          <t>申請</t>
        </is>
      </c>
      <c r="C10" s="13" t="inlineStr">
        <is>
          <t>フォーム項目</t>
        </is>
      </c>
      <c r="D10" s="13" t="inlineStr">
        <is>
          <t>フォームに通貨項目が存在するか確認</t>
        </is>
      </c>
      <c r="E10" s="13" t="inlineStr">
        <is>
          <t>ログイン済み</t>
        </is>
      </c>
      <c r="F10" s="13" t="inlineStr">
        <is>
          <t>1. 「新規申請」をクリック
2. を探す 'Currency' selector in the form
3. 異なる通貨を選択 (JPY, USD, etc.)</t>
        </is>
      </c>
      <c r="G10" s="13" t="inlineStr">
        <is>
          <t>通貨フィールドにオプション（JPY、USDなど）が存在。選択した通貨が稟議に保存される。</t>
        </is>
      </c>
      <c r="H10" s="11" t="inlineStr">
        <is>
          <t>P3</t>
        </is>
      </c>
      <c r="I10" s="10" t="inlineStr">
        <is>
          <t>未実装</t>
        </is>
      </c>
      <c r="J10" s="13" t="inlineStr">
        <is>
          <t>仕様書セクション8にcurrencyが必要。現在のスキーマにはない。</t>
        </is>
      </c>
      <c r="K10" s="13" t="inlineStr">
        <is>
          <t>https://eb-filemg-development.vercel.app</t>
        </is>
      </c>
      <c r="L10" s="7" t="inlineStr">
        <is>
          <t>N/A</t>
        </is>
      </c>
      <c r="M10" s="8" t="n"/>
      <c r="N10" s="8" t="n"/>
      <c r="O10" s="13" t="inlineStr">
        <is>
          <t>Spec 6.1 (申請)
→ "フォーム項目: Subject, Category (Purchasing, Contracts, Expenses, Misc.), Amount (tax incl./excl.), Tax category, Payment terms, Vendor/Counterparty, Purpose, Period, Budget code, Project, Desired approval date, Applicant/Department."</t>
        </is>
      </c>
      <c r="P10" s="3" t="n"/>
      <c r="Q10" s="3" t="n"/>
      <c r="R10" s="3" t="n"/>
      <c r="S10" s="3" t="n"/>
      <c r="T10" s="3" t="n"/>
      <c r="U10" s="3" t="n"/>
      <c r="V10" s="3" t="n"/>
      <c r="W10" s="3" t="n"/>
      <c r="X10" s="3" t="n"/>
      <c r="Y10" s="3" t="n"/>
      <c r="Z10" s="3" t="n"/>
    </row>
    <row r="11">
      <c r="A11" s="13" t="inlineStr">
        <is>
          <t>TC-SUB-011</t>
        </is>
      </c>
      <c r="B11" s="13" t="inlineStr">
        <is>
          <t>申請</t>
        </is>
      </c>
      <c r="C11" s="13" t="inlineStr">
        <is>
          <t>フォーム項目</t>
        </is>
      </c>
      <c r="D11" s="13" t="inlineStr">
        <is>
          <t>開始日・終了日（期間）項目の確認</t>
        </is>
      </c>
      <c r="E11" s="13" t="inlineStr">
        <is>
          <t>ログイン済み</t>
        </is>
      </c>
      <c r="F11" s="13" t="inlineStr">
        <is>
          <t>1. 「新規申請」をクリック
2. を探す 'Start Date' and 'End Date' (Period) fields
3. 両方の日付を設定</t>
        </is>
      </c>
      <c r="G11" s="13" t="inlineStr">
        <is>
          <t>Both start and end date fields 期間指定のために存在する. 値が保存される.</t>
        </is>
      </c>
      <c r="H11" s="11" t="inlineStr">
        <is>
          <t>P3</t>
        </is>
      </c>
      <c r="I11" s="10" t="inlineStr">
        <is>
          <t>未実装</t>
        </is>
      </c>
      <c r="J11" s="13" t="inlineStr">
        <is>
          <t>現在のコードには単一の'date'フィールドのみ。仕様ではstart_dateとend_dateが必要。</t>
        </is>
      </c>
      <c r="K11" s="13" t="inlineStr">
        <is>
          <t>https://eb-filemg-development.vercel.app</t>
        </is>
      </c>
      <c r="L11" s="7" t="inlineStr">
        <is>
          <t>N/A</t>
        </is>
      </c>
      <c r="M11" s="8" t="n"/>
      <c r="N11" s="8" t="n"/>
      <c r="O11" s="13" t="inlineStr">
        <is>
          <t>Spec 6.1 (申請)
→ "フォーム項目: Subject, Category (Purchasing, Contracts, Expenses, Misc.), Amount (tax incl./excl.), Tax category, Payment terms, Vendor/Counterparty, Purpose, Period, Budget code, Project, Desired approval date, Applicant/Department."</t>
        </is>
      </c>
      <c r="P11" s="3" t="n"/>
      <c r="Q11" s="3" t="n"/>
      <c r="R11" s="3" t="n"/>
      <c r="S11" s="3" t="n"/>
      <c r="T11" s="3" t="n"/>
      <c r="U11" s="3" t="n"/>
      <c r="V11" s="3" t="n"/>
      <c r="W11" s="3" t="n"/>
      <c r="X11" s="3" t="n"/>
      <c r="Y11" s="3" t="n"/>
      <c r="Z11" s="3" t="n"/>
    </row>
    <row r="12">
      <c r="A12" s="13" t="inlineStr">
        <is>
          <t>TC-SUB-012</t>
        </is>
      </c>
      <c r="B12" s="13" t="inlineStr">
        <is>
          <t>申請</t>
        </is>
      </c>
      <c r="C12" s="13" t="inlineStr">
        <is>
          <t>フォーム項目</t>
        </is>
      </c>
      <c r="D12" s="13" t="inlineStr">
        <is>
          <t>希望承認日項目の確認</t>
        </is>
      </c>
      <c r="E12" s="13" t="inlineStr">
        <is>
          <t>ログイン済み</t>
        </is>
      </c>
      <c r="F12" s="13" t="inlineStr">
        <is>
          <t>1. 「新規申請」をクリック
2. を探す 'Desired Approval Date' field
3. Select a date</t>
        </is>
      </c>
      <c r="G12" s="13" t="inlineStr">
        <is>
          <t>Desired approval date field present and selectable. 値が稟議と共に保存される.</t>
        </is>
      </c>
      <c r="H12" s="11" t="inlineStr">
        <is>
          <t>P3</t>
        </is>
      </c>
      <c r="I12" s="10" t="inlineStr">
        <is>
          <t>未実装</t>
        </is>
      </c>
      <c r="J12" s="13" t="inlineStr">
        <is>
          <t>仕様書セクション8にdesired_approval_dateが必要。現在のスキーマにはない。</t>
        </is>
      </c>
      <c r="K12" s="13" t="inlineStr">
        <is>
          <t>https://eb-filemg-development.vercel.app</t>
        </is>
      </c>
      <c r="L12" s="7" t="inlineStr">
        <is>
          <t>N/A</t>
        </is>
      </c>
      <c r="M12" s="8" t="n"/>
      <c r="N12" s="8" t="n"/>
      <c r="O12" s="13" t="inlineStr">
        <is>
          <t>Spec 6.1 (申請)
→ "フォーム項目: Subject, Category (Purchasing, Contracts, Expenses, Misc.), Amount (tax incl./excl.), Tax category, Payment terms, Vendor/Counterparty, Purpose, Period, Budget code, Project, Desired approval date, Applicant/Department."</t>
        </is>
      </c>
      <c r="P12" s="3" t="n"/>
      <c r="Q12" s="3" t="n"/>
      <c r="R12" s="3" t="n"/>
      <c r="S12" s="3" t="n"/>
      <c r="T12" s="3" t="n"/>
      <c r="U12" s="3" t="n"/>
      <c r="V12" s="3" t="n"/>
      <c r="W12" s="3" t="n"/>
      <c r="X12" s="3" t="n"/>
      <c r="Y12" s="3" t="n"/>
      <c r="Z12" s="3" t="n"/>
    </row>
    <row r="13">
      <c r="A13" s="13" t="inlineStr">
        <is>
          <t>TC-SUB-013</t>
        </is>
      </c>
      <c r="B13" s="13" t="inlineStr">
        <is>
          <t>申請</t>
        </is>
      </c>
      <c r="C13" s="13" t="inlineStr">
        <is>
          <t>下書き</t>
        </is>
      </c>
      <c r="D13" s="13" t="inlineStr">
        <is>
          <t>稟議を下書き保存</t>
        </is>
      </c>
      <c r="E13" s="13" t="inlineStr">
        <is>
          <t>ログイン済み</t>
        </is>
      </c>
      <c r="F13" s="13" t="inlineStr">
        <is>
          <t>1. 「新規申請」をクリック
2. 一部の項目を部分的に入力
3. 「下書き保存」をクリック
4. ステータスが表示されることを確認 'Draft'
5. 後で戻る and 下書きを編集
6. 下書きを送信</t>
        </is>
      </c>
      <c r="G13" s="13" t="inlineStr">
        <is>
          <t>ステータス「下書き」で稟議が保存される. 下書きバッジ付きでダッシュボードに表示される. 承認者には表示されない. 後で編集して送信可能.</t>
        </is>
      </c>
      <c r="H13" s="9" t="inlineStr">
        <is>
          <t>P2</t>
        </is>
      </c>
      <c r="I13" s="10" t="inlineStr">
        <is>
          <t>未実装</t>
        </is>
      </c>
      <c r="J13" s="13" t="inlineStr">
        <is>
          <t>現在のシステムに「下書き」ステータスなし。仕様では初期状態としてDraftを要求。</t>
        </is>
      </c>
      <c r="K13" s="13" t="inlineStr">
        <is>
          <t>https://eb-filemg-development.vercel.app</t>
        </is>
      </c>
      <c r="L13" s="7" t="inlineStr">
        <is>
          <t>N/A</t>
        </is>
      </c>
      <c r="M13" s="8" t="n"/>
      <c r="N13" s="8" t="n"/>
      <c r="O13" s="13" t="inlineStr">
        <is>
          <t>Spec 6.1 (申請)
→ "ステータス: Draft / Applying / Waiting for Approval (by stage) / Sent Back / Rejected / Approved / Expired."</t>
        </is>
      </c>
      <c r="P13" s="3" t="n"/>
      <c r="Q13" s="3" t="n"/>
      <c r="R13" s="3" t="n"/>
      <c r="S13" s="3" t="n"/>
      <c r="T13" s="3" t="n"/>
      <c r="U13" s="3" t="n"/>
      <c r="V13" s="3" t="n"/>
      <c r="W13" s="3" t="n"/>
      <c r="X13" s="3" t="n"/>
      <c r="Y13" s="3" t="n"/>
      <c r="Z13" s="3" t="n"/>
    </row>
    <row r="14">
      <c r="A14" s="13" t="inlineStr">
        <is>
          <t>TC-SUB-014</t>
        </is>
      </c>
      <c r="B14" s="13" t="inlineStr">
        <is>
          <t>申請</t>
        </is>
      </c>
      <c r="C14" s="13" t="inlineStr">
        <is>
          <t>編集</t>
        </is>
      </c>
      <c r="D14" s="13" t="inlineStr">
        <is>
          <t>保留中の稟議を編集（申請者）</t>
        </is>
      </c>
      <c r="E14" s="13" t="inlineStr">
        <is>
          <t>保留中の稟議の申請者としてログイン済み</t>
        </is>
      </c>
      <c r="F14" s="13" t="inlineStr">
        <is>
          <t>1. ダッシュボードに移動する
2. Find own pending ringi
3. オプションメニュー（三点）をクリック
4. Click 'Edit'
5. タイトルと金額を変更
6. 「送信」をクリック</t>
        </is>
      </c>
      <c r="G14" s="13" t="inlineStr">
        <is>
          <t>新しい値で稟議が更新される. アクティビティログに記録される the update with old/new diff.</t>
        </is>
      </c>
      <c r="H14" s="5" t="inlineStr">
        <is>
          <t>P1</t>
        </is>
      </c>
      <c r="I14" s="6" t="inlineStr">
        <is>
          <t>実装済み</t>
        </is>
      </c>
      <c r="J14" s="13" t="inlineStr">
        <is>
          <t>申請者はSubmissionDialogで保留中のリクエストを編集可能</t>
        </is>
      </c>
      <c r="K14" s="13" t="inlineStr">
        <is>
          <t>https://eb-filemg-development.vercel.app</t>
        </is>
      </c>
      <c r="L14" s="7" t="inlineStr">
        <is>
          <t>N/A</t>
        </is>
      </c>
      <c r="M14" s="8" t="n"/>
      <c r="N14" s="8" t="n"/>
      <c r="O14" s="13" t="inlineStr">
        <is>
          <t>Spec 6.1 (申請)
→ "ステータス: Draft / Applying / Waiting for Approval (by stage) / Sent Back / Rejected / Approved / Expired."</t>
        </is>
      </c>
      <c r="P14" s="3" t="n"/>
      <c r="Q14" s="3" t="n"/>
      <c r="R14" s="3" t="n"/>
      <c r="S14" s="3" t="n"/>
      <c r="T14" s="3" t="n"/>
      <c r="U14" s="3" t="n"/>
      <c r="V14" s="3" t="n"/>
      <c r="W14" s="3" t="n"/>
      <c r="X14" s="3" t="n"/>
      <c r="Y14" s="3" t="n"/>
      <c r="Z14" s="3" t="n"/>
    </row>
    <row r="15">
      <c r="A15" s="13" t="inlineStr">
        <is>
          <t>TC-SUB-015</t>
        </is>
      </c>
      <c r="B15" s="13" t="inlineStr">
        <is>
          <t>申請</t>
        </is>
      </c>
      <c r="C15" s="13" t="inlineStr">
        <is>
          <t>取消</t>
        </is>
      </c>
      <c r="D15" s="13" t="inlineStr">
        <is>
          <t>保留中の稟議を取消（申請者）</t>
        </is>
      </c>
      <c r="E15" s="13" t="inlineStr">
        <is>
          <t>保留中の稟議の申請者としてログイン済み</t>
        </is>
      </c>
      <c r="F15" s="13" t="inlineStr">
        <is>
          <t>1. 自分の保留中の稟議詳細ページに移動する
2. オプションメニューをクリック
3. 「取消」をクリック
4. ダイアログで取消を確認</t>
        </is>
      </c>
      <c r="G15" s="13" t="inlineStr">
        <is>
          <t>Ringi status changes to 'Cancelled'. Appears under Cancelled tab. アクティビティログに記録される cancellation.</t>
        </is>
      </c>
      <c r="H15" s="5" t="inlineStr">
        <is>
          <t>P1</t>
        </is>
      </c>
      <c r="I15" s="6" t="inlineStr">
        <is>
          <t>実装済み</t>
        </is>
      </c>
      <c r="J15" s="13" t="inlineStr">
        <is>
          <t>CancelRequestDialogコンポーネントを使用</t>
        </is>
      </c>
      <c r="K15" s="13" t="inlineStr">
        <is>
          <t>https://eb-filemg-development.vercel.app</t>
        </is>
      </c>
      <c r="L15" s="7" t="inlineStr">
        <is>
          <t>N/A</t>
        </is>
      </c>
      <c r="M15" s="8" t="n"/>
      <c r="N15" s="8" t="n"/>
      <c r="O15" s="13" t="inlineStr">
        <is>
          <t>Spec 6.1 (申請)
→ "ステータス: Draft / Applying / Waiting for Approval (by stage) / Sent Back / Rejected / Approved / Expired."</t>
        </is>
      </c>
      <c r="P15" s="3" t="n"/>
      <c r="Q15" s="3" t="n"/>
      <c r="R15" s="3" t="n"/>
      <c r="S15" s="3" t="n"/>
      <c r="T15" s="3" t="n"/>
      <c r="U15" s="3" t="n"/>
      <c r="V15" s="3" t="n"/>
      <c r="W15" s="3" t="n"/>
      <c r="X15" s="3" t="n"/>
      <c r="Y15" s="3" t="n"/>
      <c r="Z15" s="3" t="n"/>
    </row>
    <row r="16">
      <c r="A16" s="13" t="inlineStr">
        <is>
          <t>TC-SUB-016</t>
        </is>
      </c>
      <c r="B16" s="13" t="inlineStr">
        <is>
          <t>申請</t>
        </is>
      </c>
      <c r="C16" s="13" t="inlineStr">
        <is>
          <t>コンテキスト連携</t>
        </is>
      </c>
      <c r="D16" s="13" t="inlineStr">
        <is>
          <t>チャットの文脈から稟議を作成</t>
        </is>
      </c>
      <c r="E16" s="13" t="inlineStr">
        <is>
          <t>ログイン済み、購入に関するチャット中</t>
        </is>
      </c>
      <c r="F16" s="13" t="inlineStr">
        <is>
          <t>1. /c（チャット）に移動する
2. AIと購入について相談する (e.g., 'I need to buy 10 laptops from Dell for $15,000')
3. AIが承認リクエストの作成を提案すべき
4. チャットで作成を確認
5. 確認する form pre-populated with context</t>
        </is>
      </c>
      <c r="G16" s="13" t="inlineStr">
        <is>
          <t>AIがチャットのコンテキスト（取引先、金額、品目）でフォームを事前入力。申請フォームがデフォルト値入りで開く。</t>
        </is>
      </c>
      <c r="H16" s="9" t="inlineStr">
        <is>
          <t>P2</t>
        </is>
      </c>
      <c r="I16" s="12" t="inlineStr">
        <is>
          <t>一部実装</t>
        </is>
      </c>
      <c r="J16" s="13" t="inlineStr">
        <is>
          <t>OpenAIツールでチャットからリクエスト作成可能だが、専用モーダル/ドロワーなし。事前入力用のコンテキスト要約なし。</t>
        </is>
      </c>
      <c r="K16" s="13" t="inlineStr">
        <is>
          <t>https://eb-filemg-development.vercel.app</t>
        </is>
      </c>
      <c r="L16" s="7" t="inlineStr">
        <is>
          <t>N/A</t>
        </is>
      </c>
      <c r="M16" s="8" t="n"/>
      <c r="N16" s="8" t="n"/>
      <c r="O16" s="13" t="inlineStr">
        <is>
          <t>Spec 6.1 (申請)
→ "コンテキスト入力支援: チャットメッセージを要約してフォーム初期値を提案."</t>
        </is>
      </c>
      <c r="P16" s="3" t="n"/>
      <c r="Q16" s="3" t="n"/>
      <c r="R16" s="3" t="n"/>
      <c r="S16" s="3" t="n"/>
      <c r="T16" s="3" t="n"/>
      <c r="U16" s="3" t="n"/>
      <c r="V16" s="3" t="n"/>
      <c r="W16" s="3" t="n"/>
      <c r="X16" s="3" t="n"/>
      <c r="Y16" s="3" t="n"/>
      <c r="Z16" s="3" t="n"/>
    </row>
    <row r="17">
      <c r="A17" s="13" t="inlineStr">
        <is>
          <t>TC-SUB-017</t>
        </is>
      </c>
      <c r="B17" s="13" t="inlineStr">
        <is>
          <t>申請</t>
        </is>
      </c>
      <c r="C17" s="13" t="inlineStr">
        <is>
          <t>カテゴリ</t>
        </is>
      </c>
      <c r="D17" s="13" t="inlineStr">
        <is>
          <t>各カテゴリで稟議を申請</t>
        </is>
      </c>
      <c r="E17" s="13" t="inlineStr">
        <is>
          <t>ログイン済み</t>
        </is>
      </c>
      <c r="F17" s="13" t="inlineStr">
        <is>
          <t>1. で稟議を作成 Category: 'Purchasing'
2. で稟議を作成 Category: 'Contract'
3. で稟議を作成 Category: 'Expense'
4. で稟議を作成 Category: 'Other'
5. 確認する each displays correct category badge</t>
        </is>
      </c>
      <c r="G17" s="13" t="inlineStr">
        <is>
          <t>全カテゴリが受け入れられる。税金切替は購買カテゴリでのみ表示。各カテゴリに正しいカテゴリバッジがカードに表示。</t>
        </is>
      </c>
      <c r="H17" s="9" t="inlineStr">
        <is>
          <t>P2</t>
        </is>
      </c>
      <c r="I17" s="6" t="inlineStr">
        <is>
          <t>実装済み</t>
        </is>
      </c>
      <c r="J17" s="13" t="inlineStr">
        <is>
          <t>カテゴリ: Purchasing, Contract, Expense, Other</t>
        </is>
      </c>
      <c r="K17" s="13" t="inlineStr">
        <is>
          <t>https://eb-filemg-development.vercel.app</t>
        </is>
      </c>
      <c r="L17" s="7" t="inlineStr">
        <is>
          <t>N/A</t>
        </is>
      </c>
      <c r="M17" s="8" t="n"/>
      <c r="N17" s="8" t="n"/>
      <c r="O17" s="13" t="inlineStr">
        <is>
          <t>Spec 6.1 (申請)
→ "フォーム項目: Subject, Category (Purchasing, Contracts, Expenses, Misc.), Amount (tax incl./excl.), Tax category, Payment terms, Vendor/Counterparty, Purpose, Period, Budget code, Project, Desired approval date, Applicant/Department."</t>
        </is>
      </c>
      <c r="P17" s="3" t="n"/>
      <c r="Q17" s="3" t="n"/>
      <c r="R17" s="3" t="n"/>
      <c r="S17" s="3" t="n"/>
      <c r="T17" s="3" t="n"/>
      <c r="U17" s="3" t="n"/>
      <c r="V17" s="3" t="n"/>
      <c r="W17" s="3" t="n"/>
      <c r="X17" s="3" t="n"/>
      <c r="Y17" s="3" t="n"/>
      <c r="Z17" s="3" t="n"/>
    </row>
    <row r="18">
      <c r="A18" s="13" t="inlineStr">
        <is>
          <t>TC-SUB-018</t>
        </is>
      </c>
      <c r="B18" s="13" t="inlineStr">
        <is>
          <t>申請</t>
        </is>
      </c>
      <c r="C18" s="13" t="inlineStr">
        <is>
          <t>支払い</t>
        </is>
      </c>
      <c r="D18" s="13" t="inlineStr">
        <is>
          <t>支払方法オプションの確認</t>
        </is>
      </c>
      <c r="E18" s="13" t="inlineStr">
        <is>
          <t>ログイン済み</t>
        </is>
      </c>
      <c r="F18" s="13" t="inlineStr">
        <is>
          <t>1. 「新規申請」をクリック
2. 支払方法ドロップダウンの選択肢を確認
3. 各オプションを選択 (Bank Transfer, Credit Card, Cash, Other)
4. 確認する Payment Schedule Date picker works</t>
        </is>
      </c>
      <c r="G18" s="13" t="inlineStr">
        <is>
          <t>Payment methods available: Bank Transfer, Credit Card, Cash, Other. Date picker functional. 値が保存される.</t>
        </is>
      </c>
      <c r="H18" s="9" t="inlineStr">
        <is>
          <t>P2</t>
        </is>
      </c>
      <c r="I18" s="6" t="inlineStr">
        <is>
          <t>実装済み</t>
        </is>
      </c>
      <c r="J18" s="13" t="inlineStr">
        <is>
          <t>payment_methodとpayment_schedule_dateフィールドが存在</t>
        </is>
      </c>
      <c r="K18" s="13" t="inlineStr">
        <is>
          <t>https://eb-filemg-development.vercel.app</t>
        </is>
      </c>
      <c r="L18" s="7" t="inlineStr">
        <is>
          <t>N/A</t>
        </is>
      </c>
      <c r="M18" s="8" t="n"/>
      <c r="N18" s="8" t="n"/>
      <c r="O18" s="13" t="inlineStr">
        <is>
          <t>Spec 6.1 (申請)
→ "フォーム項目: Subject, Category (Purchasing, Contracts, Expenses, Misc.), Amount (tax incl./excl.), Tax category, Payment terms, Vendor/Counterparty, Purpose, Period, Budget code, Project, Desired approval date, Applicant/Department."</t>
        </is>
      </c>
      <c r="P18" s="3" t="n"/>
      <c r="Q18" s="3" t="n"/>
      <c r="R18" s="3" t="n"/>
      <c r="S18" s="3" t="n"/>
      <c r="T18" s="3" t="n"/>
      <c r="U18" s="3" t="n"/>
      <c r="V18" s="3" t="n"/>
      <c r="W18" s="3" t="n"/>
      <c r="X18" s="3" t="n"/>
      <c r="Y18" s="3" t="n"/>
      <c r="Z18" s="3" t="n"/>
    </row>
    <row r="19">
      <c r="A19" s="13" t="inlineStr">
        <is>
          <t>TC-RTE-001</t>
        </is>
      </c>
      <c r="B19" s="13" t="inlineStr">
        <is>
          <t>承認ルート</t>
        </is>
      </c>
      <c r="C19" s="13" t="inlineStr">
        <is>
          <t>ルート設定</t>
        </is>
      </c>
      <c r="D19" s="13" t="inlineStr">
        <is>
          <t>金額別の多段階承認ルートを設定</t>
        </is>
      </c>
      <c r="E19" s="13" t="inlineStr">
        <is>
          <t>管理者/スーパー管理者としてログイン済み</t>
        </is>
      </c>
      <c r="F19" s="13" t="inlineStr">
        <is>
          <t>1. 管理設定に移動する
2. を探す Approval Route configuration section
3. ルートを作成: Amount &gt; 100,000 -&gt; Manager -&gt; Director -&gt; CFO
4. ルートを作成: Amount &lt;= 100,000 -&gt; Manager only
5. 設定を保存</t>
        </is>
      </c>
      <c r="G19" s="13" t="inlineStr">
        <is>
          <t>ルートが保存される。金額&gt;10万円の稟議は3段階承認が発動。&lt;=10万円は1段階。</t>
        </is>
      </c>
      <c r="H19" s="5" t="inlineStr">
        <is>
          <t>P1</t>
        </is>
      </c>
      <c r="I19" s="10" t="inlineStr">
        <is>
          <t>未実装</t>
        </is>
      </c>
      <c r="J19" s="13" t="inlineStr">
        <is>
          <t>approval_routesやapproval_route_stepsテーブルなし。ルーティングエンジンなし。フェーズ2の主要ギャップ。</t>
        </is>
      </c>
      <c r="K19" s="13" t="inlineStr">
        <is>
          <t>https://eb-filemg-development.vercel.app</t>
        </is>
      </c>
      <c r="L19" s="7" t="inlineStr">
        <is>
          <t>N/A</t>
        </is>
      </c>
      <c r="M19" s="8" t="n"/>
      <c r="N19" s="8" t="n"/>
      <c r="O19" s="13" t="inlineStr">
        <is>
          <t>Spec 6.2 (承認ルート)
→ "設定可能な承認段階 金額、部門、カテゴリ別 (設定ファイル/管理画面で編集可能、CSVインポート)."</t>
        </is>
      </c>
      <c r="P19" s="3" t="n"/>
      <c r="Q19" s="3" t="n"/>
      <c r="R19" s="3" t="n"/>
      <c r="S19" s="3" t="n"/>
      <c r="T19" s="3" t="n"/>
      <c r="U19" s="3" t="n"/>
      <c r="V19" s="3" t="n"/>
      <c r="W19" s="3" t="n"/>
      <c r="X19" s="3" t="n"/>
      <c r="Y19" s="3" t="n"/>
      <c r="Z19" s="3" t="n"/>
    </row>
    <row r="20">
      <c r="A20" s="13" t="inlineStr">
        <is>
          <t>TC-RTE-002</t>
        </is>
      </c>
      <c r="B20" s="13" t="inlineStr">
        <is>
          <t>承認ルート</t>
        </is>
      </c>
      <c r="C20" s="13" t="inlineStr">
        <is>
          <t>ルート設定</t>
        </is>
      </c>
      <c r="D20" s="13" t="inlineStr">
        <is>
          <t>部門別の承認ルートを設定</t>
        </is>
      </c>
      <c r="E20" s="13" t="inlineStr">
        <is>
          <t>管理者/スーパー管理者としてログイン済み</t>
        </is>
      </c>
      <c r="F20" s="13" t="inlineStr">
        <is>
          <t>1. ルート設定に移動する
2. のルートを作成 Engineering dept: Team Lead -&gt; Engineering Manager
3. のルートを作成 Sales dept: Sales Lead -&gt; Sales Director
4. 保存</t>
        </is>
      </c>
      <c r="G20" s="13" t="inlineStr">
        <is>
          <t>部門ベースのルーティングが動作。エンジニアリングの稟議はエンジニアリングルートへ。営業の稟議は営業ルートへ。</t>
        </is>
      </c>
      <c r="H20" s="5" t="inlineStr">
        <is>
          <t>P1</t>
        </is>
      </c>
      <c r="I20" s="10" t="inlineStr">
        <is>
          <t>未実装</t>
        </is>
      </c>
      <c r="J20" s="13" t="inlineStr">
        <is>
          <t>部門ベースのルーティングロジックが存在しない。</t>
        </is>
      </c>
      <c r="K20" s="13" t="inlineStr">
        <is>
          <t>https://eb-filemg-development.vercel.app</t>
        </is>
      </c>
      <c r="L20" s="7" t="inlineStr">
        <is>
          <t>N/A</t>
        </is>
      </c>
      <c r="M20" s="8" t="n"/>
      <c r="N20" s="8" t="n"/>
      <c r="O20" s="13" t="inlineStr">
        <is>
          <t>Spec 6.2 (承認ルート)
→ "設定可能な承認段階 金額、部門、カテゴリ別 (設定ファイル/管理画面で編集可能、CSVインポート)."</t>
        </is>
      </c>
      <c r="P20" s="3" t="n"/>
      <c r="Q20" s="3" t="n"/>
      <c r="R20" s="3" t="n"/>
      <c r="S20" s="3" t="n"/>
      <c r="T20" s="3" t="n"/>
      <c r="U20" s="3" t="n"/>
      <c r="V20" s="3" t="n"/>
      <c r="W20" s="3" t="n"/>
      <c r="X20" s="3" t="n"/>
      <c r="Y20" s="3" t="n"/>
      <c r="Z20" s="3" t="n"/>
    </row>
    <row r="21">
      <c r="A21" s="13" t="inlineStr">
        <is>
          <t>TC-RTE-003</t>
        </is>
      </c>
      <c r="B21" s="13" t="inlineStr">
        <is>
          <t>承認ルート</t>
        </is>
      </c>
      <c r="C21" s="13" t="inlineStr">
        <is>
          <t>ルート設定</t>
        </is>
      </c>
      <c r="D21" s="13" t="inlineStr">
        <is>
          <t>カテゴリ別の承認ルートを設定</t>
        </is>
      </c>
      <c r="E21" s="13" t="inlineStr">
        <is>
          <t>管理者/スーパー管理者としてログイン済み</t>
        </is>
      </c>
      <c r="F21" s="13" t="inlineStr">
        <is>
          <t>1. ルート設定に移動する
2. のルートを作成 'Contract' category: Legal Review -&gt; Manager -&gt; Director
3. のルートを作成 'Expense' category: Manager only
4. 保存</t>
        </is>
      </c>
      <c r="G21" s="13" t="inlineStr">
        <is>
          <t>カテゴリベースのルーティングが動作。契約の稟議は法務レビュー段階を含む。経費の稟議は管理者のみ。</t>
        </is>
      </c>
      <c r="H21" s="5" t="inlineStr">
        <is>
          <t>P1</t>
        </is>
      </c>
      <c r="I21" s="10" t="inlineStr">
        <is>
          <t>未実装</t>
        </is>
      </c>
      <c r="J21" s="13" t="inlineStr">
        <is>
          <t>カテゴリベースのルーティングロジックなし。</t>
        </is>
      </c>
      <c r="K21" s="13" t="inlineStr">
        <is>
          <t>https://eb-filemg-development.vercel.app</t>
        </is>
      </c>
      <c r="L21" s="7" t="inlineStr">
        <is>
          <t>N/A</t>
        </is>
      </c>
      <c r="M21" s="8" t="n"/>
      <c r="N21" s="8" t="n"/>
      <c r="O21" s="13" t="inlineStr">
        <is>
          <t>Spec 6.2 (承認ルート)
→ "設定可能な承認段階 金額、部門、カテゴリ別 (設定ファイル/管理画面で編集可能、CSVインポート)."</t>
        </is>
      </c>
      <c r="P21" s="3" t="n"/>
      <c r="Q21" s="3" t="n"/>
      <c r="R21" s="3" t="n"/>
      <c r="S21" s="3" t="n"/>
      <c r="T21" s="3" t="n"/>
      <c r="U21" s="3" t="n"/>
      <c r="V21" s="3" t="n"/>
      <c r="W21" s="3" t="n"/>
      <c r="X21" s="3" t="n"/>
      <c r="Y21" s="3" t="n"/>
      <c r="Z21" s="3" t="n"/>
    </row>
    <row r="22">
      <c r="A22" s="13" t="inlineStr">
        <is>
          <t>TC-RTE-004</t>
        </is>
      </c>
      <c r="B22" s="13" t="inlineStr">
        <is>
          <t>承認ルート</t>
        </is>
      </c>
      <c r="C22" s="13" t="inlineStr">
        <is>
          <t>CSVインポート</t>
        </is>
      </c>
      <c r="D22" s="13" t="inlineStr">
        <is>
          <t>CSVで承認ルートをインポート</t>
        </is>
      </c>
      <c r="E22" s="13" t="inlineStr">
        <is>
          <t>管理者としてログイン済み、ルート定義のCSVが準備済み</t>
        </is>
      </c>
      <c r="F22" s="13" t="inlineStr">
        <is>
          <t>1. ルート設定に移動する
2. 「CSVインポート」をクリック
3. ルート定義のCSVをアップロード (columns: name, dept, category, amount_threshold, step_order, approver)
4. インポートされたルートを確認
5. インポートを確認</t>
        </is>
      </c>
      <c r="G22" s="13" t="inlineStr">
        <is>
          <t>CSVからルートがインポートされる。全行が正しくパースされる。無効な行にはバリデーションエラーが表示。インポートされたルートが管理画面に表示。</t>
        </is>
      </c>
      <c r="H22" s="9" t="inlineStr">
        <is>
          <t>P2</t>
        </is>
      </c>
      <c r="I22" s="10" t="inlineStr">
        <is>
          <t>未実装</t>
        </is>
      </c>
      <c r="J22" s="13" t="inlineStr">
        <is>
          <t>ルートのCSVインポート機能なし。</t>
        </is>
      </c>
      <c r="K22" s="13" t="inlineStr">
        <is>
          <t>https://eb-filemg-development.vercel.app</t>
        </is>
      </c>
      <c r="L22" s="7" t="inlineStr">
        <is>
          <t>N/A</t>
        </is>
      </c>
      <c r="M22" s="8" t="n"/>
      <c r="N22" s="8" t="n"/>
      <c r="O22" s="13" t="inlineStr">
        <is>
          <t>Spec 6.2 (承認ルート)
→ "設定可能な承認段階 金額、部門、カテゴリ別 (設定ファイル/管理画面で編集可能、CSVインポート)."</t>
        </is>
      </c>
      <c r="P22" s="3" t="n"/>
      <c r="Q22" s="3" t="n"/>
      <c r="R22" s="3" t="n"/>
      <c r="S22" s="3" t="n"/>
      <c r="T22" s="3" t="n"/>
      <c r="U22" s="3" t="n"/>
      <c r="V22" s="3" t="n"/>
      <c r="W22" s="3" t="n"/>
      <c r="X22" s="3" t="n"/>
      <c r="Y22" s="3" t="n"/>
      <c r="Z22" s="3" t="n"/>
    </row>
    <row r="23">
      <c r="A23" s="13" t="inlineStr">
        <is>
          <t>TC-RTE-005</t>
        </is>
      </c>
      <c r="B23" s="13" t="inlineStr">
        <is>
          <t>承認ルート</t>
        </is>
      </c>
      <c r="C23" s="13" t="inlineStr">
        <is>
          <t>管理画面</t>
        </is>
      </c>
      <c r="D23" s="13" t="inlineStr">
        <is>
          <t>ルートCRUD管理の管理画面</t>
        </is>
      </c>
      <c r="E23" s="13" t="inlineStr">
        <is>
          <t>スーパー管理者としてログイン済み</t>
        </is>
      </c>
      <c r="F23" s="13" t="inlineStr">
        <is>
          <t>1. /superadminに移動する
2. を探す 'Approval Routes' menu item
3. 設定済みルートの一覧を表示
4. 新規ルートを作成
5. 既存ルートを編集
6. ルートを削除</t>
        </is>
      </c>
      <c r="G23" s="13" t="inlineStr">
        <is>
          <t>管理UIで承認ルートのフルCRUD. Changes take effect for new submissions. Route list shows all configured routes.</t>
        </is>
      </c>
      <c r="H23" s="5" t="inlineStr">
        <is>
          <t>P1</t>
        </is>
      </c>
      <c r="I23" s="10" t="inlineStr">
        <is>
          <t>未実装</t>
        </is>
      </c>
      <c r="J23" s="13" t="inlineStr">
        <is>
          <t>承認ルートの管理UIなし。スーパー管理者ダッシュボードにはユーザー管理のみ。</t>
        </is>
      </c>
      <c r="K23" s="13" t="inlineStr">
        <is>
          <t>https://eb-filemg-development.vercel.app</t>
        </is>
      </c>
      <c r="L23" s="7" t="inlineStr">
        <is>
          <t>N/A</t>
        </is>
      </c>
      <c r="M23" s="8" t="n"/>
      <c r="N23" s="8" t="n"/>
      <c r="O23" s="13" t="inlineStr">
        <is>
          <t>Spec 6.2 (承認ルート)
→ "設定可能な承認段階 金額、部門、カテゴリ別 (設定ファイル/管理画面で編集可能、CSVインポート)."</t>
        </is>
      </c>
      <c r="P23" s="3" t="n"/>
      <c r="Q23" s="3" t="n"/>
      <c r="R23" s="3" t="n"/>
      <c r="S23" s="3" t="n"/>
      <c r="T23" s="3" t="n"/>
      <c r="U23" s="3" t="n"/>
      <c r="V23" s="3" t="n"/>
      <c r="W23" s="3" t="n"/>
      <c r="X23" s="3" t="n"/>
      <c r="Y23" s="3" t="n"/>
      <c r="Z23" s="3" t="n"/>
    </row>
    <row r="24">
      <c r="A24" s="13" t="inlineStr">
        <is>
          <t>TC-RTE-006</t>
        </is>
      </c>
      <c r="B24" s="13" t="inlineStr">
        <is>
          <t>承認ルート</t>
        </is>
      </c>
      <c r="C24" s="13" t="inlineStr">
        <is>
          <t>代理承認</t>
        </is>
      </c>
      <c r="D24" s="13" t="inlineStr">
        <is>
          <t>代理承認の委任を設定</t>
        </is>
      </c>
      <c r="E24" s="13" t="inlineStr">
        <is>
          <t>管理者または承認者としてログイン済み</t>
        </is>
      </c>
      <c r="F24" s="13" t="inlineStr">
        <is>
          <t>1. 代理承認設定に移動する
2. 委任先を設定: User B can approve for User A
3. 期間を設定: 2026-02-15 to 2026-02-28
4. 金額上限を設定: 500,000
5. 範囲を設定: Engineering dept only
6. 保存</t>
        </is>
      </c>
      <c r="G24" s="13" t="inlineStr">
        <is>
          <t>代理委任が保存される。ユーザーBが制約内（期間、金額、範囲）でユーザーAの承認を代行可能。</t>
        </is>
      </c>
      <c r="H24" s="9" t="inlineStr">
        <is>
          <t>P2</t>
        </is>
      </c>
      <c r="I24" s="10" t="inlineStr">
        <is>
          <t>未実装</t>
        </is>
      </c>
      <c r="J24" s="13" t="inlineStr">
        <is>
          <t>proxy_approvalsテーブルや委任ロジックなし。</t>
        </is>
      </c>
      <c r="K24" s="13" t="inlineStr">
        <is>
          <t>https://eb-filemg-development.vercel.app</t>
        </is>
      </c>
      <c r="L24" s="7" t="inlineStr">
        <is>
          <t>N/A</t>
        </is>
      </c>
      <c r="M24" s="8" t="n"/>
      <c r="N24" s="8" t="n"/>
      <c r="O24" s="13" t="inlineStr">
        <is>
          <t>Spec 6.2 (承認ルート)
→ "代理承認 (期間/範囲制限、金額制限), 緊急稟議ルート (事後承認が必須)."</t>
        </is>
      </c>
      <c r="P24" s="3" t="n"/>
      <c r="Q24" s="3" t="n"/>
      <c r="R24" s="3" t="n"/>
      <c r="S24" s="3" t="n"/>
      <c r="T24" s="3" t="n"/>
      <c r="U24" s="3" t="n"/>
      <c r="V24" s="3" t="n"/>
      <c r="W24" s="3" t="n"/>
      <c r="X24" s="3" t="n"/>
      <c r="Y24" s="3" t="n"/>
      <c r="Z24" s="3" t="n"/>
    </row>
    <row r="25">
      <c r="A25" s="13" t="inlineStr">
        <is>
          <t>TC-RTE-007</t>
        </is>
      </c>
      <c r="B25" s="13" t="inlineStr">
        <is>
          <t>承認ルート</t>
        </is>
      </c>
      <c r="C25" s="13" t="inlineStr">
        <is>
          <t>代理承認</t>
        </is>
      </c>
      <c r="D25" s="13" t="inlineStr">
        <is>
          <t>制限内で代理承認を実行</t>
        </is>
      </c>
      <c r="E25" s="13" t="inlineStr">
        <is>
          <t>代理承認者としてログイン済み、有効な委任が存在</t>
        </is>
      </c>
      <c r="F25" s="13" t="inlineStr">
        <is>
          <t>1. 保留中の承認一覧に移動する
2. Find ringi assigned to delegator (within amount ceiling)
3. Approve as proxy
4. Check audit trail</t>
        </is>
      </c>
      <c r="G25" s="13" t="inlineStr">
        <is>
          <t>代理として承認が記録される。監査ログに元の承認者と代理が表示。金額が上限内。</t>
        </is>
      </c>
      <c r="H25" s="9" t="inlineStr">
        <is>
          <t>P2</t>
        </is>
      </c>
      <c r="I25" s="10" t="inlineStr">
        <is>
          <t>未実装</t>
        </is>
      </c>
      <c r="J25" s="13" t="inlineStr">
        <is>
          <t>代理承認の実行ロジックなし。</t>
        </is>
      </c>
      <c r="K25" s="13" t="inlineStr">
        <is>
          <t>https://eb-filemg-development.vercel.app</t>
        </is>
      </c>
      <c r="L25" s="7" t="inlineStr">
        <is>
          <t>N/A</t>
        </is>
      </c>
      <c r="M25" s="8" t="n"/>
      <c r="N25" s="8" t="n"/>
      <c r="O25" s="13" t="inlineStr">
        <is>
          <t>Spec 6.2 (承認ルート)
→ "代理承認 (期間/範囲制限、金額制限), 緊急稟議ルート (事後承認が必須)."</t>
        </is>
      </c>
      <c r="P25" s="3" t="n"/>
      <c r="Q25" s="3" t="n"/>
      <c r="R25" s="3" t="n"/>
      <c r="S25" s="3" t="n"/>
      <c r="T25" s="3" t="n"/>
      <c r="U25" s="3" t="n"/>
      <c r="V25" s="3" t="n"/>
      <c r="W25" s="3" t="n"/>
      <c r="X25" s="3" t="n"/>
      <c r="Y25" s="3" t="n"/>
      <c r="Z25" s="3" t="n"/>
    </row>
    <row r="26">
      <c r="A26" s="13" t="inlineStr">
        <is>
          <t>TC-RTE-008</t>
        </is>
      </c>
      <c r="B26" s="13" t="inlineStr">
        <is>
          <t>承認ルート</t>
        </is>
      </c>
      <c r="C26" s="13" t="inlineStr">
        <is>
          <t>代理承認</t>
        </is>
      </c>
      <c r="D26" s="13" t="inlineStr">
        <is>
          <t>制限超過の代理承認を拒否</t>
        </is>
      </c>
      <c r="E26" s="13" t="inlineStr">
        <is>
          <t>代理承認者としてログイン済み、上限50万円の委任</t>
        </is>
      </c>
      <c r="F26" s="13" t="inlineStr">
        <is>
          <t>1. Find ringi with amount 600,000 assigned to delegator
2. を試みる approve as proxy</t>
        </is>
      </c>
      <c r="G26" s="13" t="inlineStr">
        <is>
          <t>システムが代理承認をブロック。エラーメッセージ：金額が代理上限を超過。元の承認者による承認が必要。</t>
        </is>
      </c>
      <c r="H26" s="9" t="inlineStr">
        <is>
          <t>P2</t>
        </is>
      </c>
      <c r="I26" s="10" t="inlineStr">
        <is>
          <t>未実装</t>
        </is>
      </c>
      <c r="J26" s="13" t="inlineStr">
        <is>
          <t>代理承認の制限チェックなし。</t>
        </is>
      </c>
      <c r="K26" s="13" t="inlineStr">
        <is>
          <t>https://eb-filemg-development.vercel.app</t>
        </is>
      </c>
      <c r="L26" s="7" t="inlineStr">
        <is>
          <t>N/A</t>
        </is>
      </c>
      <c r="M26" s="8" t="n"/>
      <c r="N26" s="8" t="n"/>
      <c r="O26" s="13" t="inlineStr">
        <is>
          <t>Spec 6.2 (承認ルート)
→ "代理承認 (期間/範囲制限、金額制限), 緊急稟議ルート (事後承認が必須)."</t>
        </is>
      </c>
      <c r="P26" s="3" t="n"/>
      <c r="Q26" s="3" t="n"/>
      <c r="R26" s="3" t="n"/>
      <c r="S26" s="3" t="n"/>
      <c r="T26" s="3" t="n"/>
      <c r="U26" s="3" t="n"/>
      <c r="V26" s="3" t="n"/>
      <c r="W26" s="3" t="n"/>
      <c r="X26" s="3" t="n"/>
      <c r="Y26" s="3" t="n"/>
      <c r="Z26" s="3" t="n"/>
    </row>
    <row r="27">
      <c r="A27" s="13" t="inlineStr">
        <is>
          <t>TC-RTE-009</t>
        </is>
      </c>
      <c r="B27" s="13" t="inlineStr">
        <is>
          <t>承認ルート</t>
        </is>
      </c>
      <c r="C27" s="13" t="inlineStr">
        <is>
          <t>緊急稟議</t>
        </is>
      </c>
      <c r="D27" s="13" t="inlineStr">
        <is>
          <t>緊急稟議を申請（事後承認）</t>
        </is>
      </c>
      <c r="E27" s="13" t="inlineStr">
        <is>
          <t>ログイン済み、緊急ルートが設定済み</t>
        </is>
      </c>
      <c r="F27" s="13" t="inlineStr">
        <is>
          <t>1. 「新規申請」をクリック
2. Select 'Emergency' flag/route
3. 必須項目を入力
4. Submit
5. 確認する post-hoc approval required</t>
        </is>
      </c>
      <c r="G27" s="13" t="inlineStr">
        <is>
          <t>緊急フラグ付きで稟議が作成される。即時処理が許可。事後承認が必要。カードに特別な視覚インジケーター。</t>
        </is>
      </c>
      <c r="H27" s="11" t="inlineStr">
        <is>
          <t>P3</t>
        </is>
      </c>
      <c r="I27" s="10" t="inlineStr">
        <is>
          <t>未実装</t>
        </is>
      </c>
      <c r="J27" s="13" t="inlineStr">
        <is>
          <t>システムに緊急稟議ルートの概念なし。</t>
        </is>
      </c>
      <c r="K27" s="13" t="inlineStr">
        <is>
          <t>https://eb-filemg-development.vercel.app</t>
        </is>
      </c>
      <c r="L27" s="7" t="inlineStr">
        <is>
          <t>N/A</t>
        </is>
      </c>
      <c r="M27" s="8" t="n"/>
      <c r="N27" s="8" t="n"/>
      <c r="O27" s="13" t="inlineStr">
        <is>
          <t>Spec 6.2 (承認ルート)
→ "代理承認 (期間/範囲制限、金額制限), 緊急稟議ルート (事後承認が必須)."</t>
        </is>
      </c>
      <c r="P27" s="3" t="n"/>
      <c r="Q27" s="3" t="n"/>
      <c r="R27" s="3" t="n"/>
      <c r="S27" s="3" t="n"/>
      <c r="T27" s="3" t="n"/>
      <c r="U27" s="3" t="n"/>
      <c r="V27" s="3" t="n"/>
      <c r="W27" s="3" t="n"/>
      <c r="X27" s="3" t="n"/>
      <c r="Y27" s="3" t="n"/>
      <c r="Z27" s="3" t="n"/>
    </row>
    <row r="28">
      <c r="A28" s="13" t="inlineStr">
        <is>
          <t>TC-RTE-010</t>
        </is>
      </c>
      <c r="B28" s="13" t="inlineStr">
        <is>
          <t>承認ルート</t>
        </is>
      </c>
      <c r="C28" s="13" t="inlineStr">
        <is>
          <t>ルートテスト</t>
        </is>
      </c>
      <c r="D28" s="13" t="inlineStr">
        <is>
          <t>ルート設定確認のテスト送信</t>
        </is>
      </c>
      <c r="E28" s="13" t="inlineStr">
        <is>
          <t>管理者としてログイン済み、ルートが設定済み</t>
        </is>
      </c>
      <c r="F28" s="13" t="inlineStr">
        <is>
          <t>1. ルート設定に移動する
2. Select a route
3. 「テスト送信」をクリック
4. Enter test parameters (amount=200000, dept=Engineering, category=Purchasing)
5. Review resolved route</t>
        </is>
      </c>
      <c r="G28" s="13" t="inlineStr">
        <is>
          <t>テストパラメータに対して、どの承認者がどの順序で割り当てられるかを表示。実際の稟議は作成されない。</t>
        </is>
      </c>
      <c r="H28" s="11" t="inlineStr">
        <is>
          <t>P3</t>
        </is>
      </c>
      <c r="I28" s="10" t="inlineStr">
        <is>
          <t>未実装</t>
        </is>
      </c>
      <c r="J28" s="13" t="inlineStr">
        <is>
          <t>ルート検証用のテスト送信機能なし。</t>
        </is>
      </c>
      <c r="K28" s="13" t="inlineStr">
        <is>
          <t>https://eb-filemg-development.vercel.app</t>
        </is>
      </c>
      <c r="L28" s="7" t="inlineStr">
        <is>
          <t>N/A</t>
        </is>
      </c>
      <c r="M28" s="8" t="n"/>
      <c r="N28" s="8" t="n"/>
      <c r="O28" s="13" t="inlineStr">
        <is>
          <t>Spec 6.2 (承認ルート)
→ "設定可能な承認段階 金額、部門、カテゴリ別 (設定ファイル/管理画面で編集可能、CSVインポート)."</t>
        </is>
      </c>
      <c r="P28" s="3" t="n"/>
      <c r="Q28" s="3" t="n"/>
      <c r="R28" s="3" t="n"/>
      <c r="S28" s="3" t="n"/>
      <c r="T28" s="3" t="n"/>
      <c r="U28" s="3" t="n"/>
      <c r="V28" s="3" t="n"/>
      <c r="W28" s="3" t="n"/>
      <c r="X28" s="3" t="n"/>
      <c r="Y28" s="3" t="n"/>
      <c r="Z28" s="3" t="n"/>
    </row>
    <row r="29">
      <c r="A29" s="13" t="inlineStr">
        <is>
          <t>TC-APR-001</t>
        </is>
      </c>
      <c r="B29" s="13" t="inlineStr">
        <is>
          <t>承認操作</t>
        </is>
      </c>
      <c r="C29" s="13" t="inlineStr">
        <is>
          <t>承認</t>
        </is>
      </c>
      <c r="D29" s="13" t="inlineStr">
        <is>
          <t>管理者が保留中の稟議を承認</t>
        </is>
      </c>
      <c r="E29" s="13" t="inlineStr">
        <is>
          <t>管理者としてログイン済み、保留中の稟議が存在</t>
        </is>
      </c>
      <c r="F29" s="13" t="inlineStr">
        <is>
          <t>1. ダッシュボードに移動する
2. Find a pending ringi card
3. Click on the ringi card to view detail
4. 「承認」をクリック button
5. 承認メモを入力（任意）
6. 承認を確認</t>
        </is>
      </c>
      <c r="G29" s="13" t="inlineStr">
        <is>
          <t>ステータスが変更される: 'Approved'. approved_byが管理者IDに設定される. アクティビティログに記録される approval. トースト通知が表示される.</t>
        </is>
      </c>
      <c r="H29" s="5" t="inlineStr">
        <is>
          <t>P1</t>
        </is>
      </c>
      <c r="I29" s="6" t="inlineStr">
        <is>
          <t>実装済み</t>
        </is>
      </c>
      <c r="J29" s="13" t="inlineStr">
        <is>
          <t>単一段階の承認がApprovalActionsコンポーネントで動作。</t>
        </is>
      </c>
      <c r="K29" s="13" t="inlineStr">
        <is>
          <t>https://eb-filemg-development.vercel.app</t>
        </is>
      </c>
      <c r="L29" s="7" t="inlineStr">
        <is>
          <t>N/A</t>
        </is>
      </c>
      <c r="M29" s="8" t="n"/>
      <c r="N29" s="8" t="n"/>
      <c r="O29" s="13" t="inlineStr">
        <is>
          <t>Spec 6.3 (承認操作)
→ "ステータス: Draft / Applying / Waiting for Approval (by stage) / Sent Back / Rejected / Approved / Expired."</t>
        </is>
      </c>
      <c r="P29" s="3" t="n"/>
      <c r="Q29" s="3" t="n"/>
      <c r="R29" s="3" t="n"/>
      <c r="S29" s="3" t="n"/>
      <c r="T29" s="3" t="n"/>
      <c r="U29" s="3" t="n"/>
      <c r="V29" s="3" t="n"/>
      <c r="W29" s="3" t="n"/>
      <c r="X29" s="3" t="n"/>
      <c r="Y29" s="3" t="n"/>
      <c r="Z29" s="3" t="n"/>
    </row>
    <row r="30">
      <c r="A30" s="13" t="inlineStr">
        <is>
          <t>TC-APR-002</t>
        </is>
      </c>
      <c r="B30" s="13" t="inlineStr">
        <is>
          <t>承認操作</t>
        </is>
      </c>
      <c r="C30" s="13" t="inlineStr">
        <is>
          <t>却下</t>
        </is>
      </c>
      <c r="D30" s="13" t="inlineStr">
        <is>
          <t>管理者が理由付きで稟議を却下</t>
        </is>
      </c>
      <c r="E30" s="13" t="inlineStr">
        <is>
          <t>管理者としてログイン済み、保留中の稟議が存在</t>
        </is>
      </c>
      <c r="F30" s="13" t="inlineStr">
        <is>
          <t>1. 保留中の稟議詳細に移動する
2. 「却下」をクリック button
3. 却下理由を入力（必須）
4. Confirm rejection</t>
        </is>
      </c>
      <c r="G30" s="13" t="inlineStr">
        <is>
          <t>ステータスが変更される: 'Rejected'. rejected_byが設定される. 却下理由がapproval_notesに保存される. コメントは必須.</t>
        </is>
      </c>
      <c r="H30" s="5" t="inlineStr">
        <is>
          <t>P1</t>
        </is>
      </c>
      <c r="I30" s="6" t="inlineStr">
        <is>
          <t>実装済み</t>
        </is>
      </c>
      <c r="J30" s="13" t="inlineStr">
        <is>
          <t>必須メモ付きの却下が動作。</t>
        </is>
      </c>
      <c r="K30" s="13" t="inlineStr">
        <is>
          <t>https://eb-filemg-development.vercel.app</t>
        </is>
      </c>
      <c r="L30" s="7" t="inlineStr">
        <is>
          <t>N/A</t>
        </is>
      </c>
      <c r="M30" s="8" t="n"/>
      <c r="N30" s="8" t="n"/>
      <c r="O30" s="13" t="inlineStr">
        <is>
          <t>Spec 6.3 (承認操作)
→ "ステータス: Draft / Applying / Waiting for Approval (by stage) / Sent Back / Rejected / Approved / Expired."</t>
        </is>
      </c>
      <c r="P30" s="3" t="n"/>
      <c r="Q30" s="3" t="n"/>
      <c r="R30" s="3" t="n"/>
      <c r="S30" s="3" t="n"/>
      <c r="T30" s="3" t="n"/>
      <c r="U30" s="3" t="n"/>
      <c r="V30" s="3" t="n"/>
      <c r="W30" s="3" t="n"/>
      <c r="X30" s="3" t="n"/>
      <c r="Y30" s="3" t="n"/>
      <c r="Z30" s="3" t="n"/>
    </row>
    <row r="31">
      <c r="A31" s="13" t="inlineStr">
        <is>
          <t>TC-APR-003</t>
        </is>
      </c>
      <c r="B31" s="13" t="inlineStr">
        <is>
          <t>承認操作</t>
        </is>
      </c>
      <c r="C31" s="13" t="inlineStr">
        <is>
          <t>差戻し</t>
        </is>
      </c>
      <c r="D31" s="13" t="inlineStr">
        <is>
          <t>管理者が稟議を差戻し</t>
        </is>
      </c>
      <c r="E31" s="13" t="inlineStr">
        <is>
          <t>管理者としてログイン済み、保留中の稟議が存在</t>
        </is>
      </c>
      <c r="F31" s="13" t="inlineStr">
        <is>
          <t>1. 保留中の稟議に移動する
2. Click 'Request Revision' / 'Send Back'
3. 修正コメントを入力
4. 差戻しを確認</t>
        </is>
      </c>
      <c r="G31" s="13" t="inlineStr">
        <is>
          <t>ステータスが変更される: 'Sent Back' (spec) / 'Need Revision' (current). コメントが保存される. 申請者が修正依頼を確認できる.</t>
        </is>
      </c>
      <c r="H31" s="5" t="inlineStr">
        <is>
          <t>P1</t>
        </is>
      </c>
      <c r="I31" s="12" t="inlineStr">
        <is>
          <t>一部実装</t>
        </is>
      </c>
      <c r="J31" s="13" t="inlineStr">
        <is>
          <t>ステータスは仕様の'sent_back'ではなく'need_revision'を使用。差分メモ付きの再申請ワークフローなし。</t>
        </is>
      </c>
      <c r="K31" s="13" t="inlineStr">
        <is>
          <t>https://eb-filemg-development.vercel.app</t>
        </is>
      </c>
      <c r="L31" s="7" t="inlineStr">
        <is>
          <t>N/A</t>
        </is>
      </c>
      <c r="M31" s="8" t="n"/>
      <c r="N31" s="8" t="n"/>
      <c r="O31" s="13" t="inlineStr">
        <is>
          <t>Spec 6.3 (承認操作)
→ "ステータス: Draft / Applying / Waiting for Approval (by stage) / Sent Back / Rejected / Approved / Expired."</t>
        </is>
      </c>
      <c r="P31" s="3" t="n"/>
      <c r="Q31" s="3" t="n"/>
      <c r="R31" s="3" t="n"/>
      <c r="S31" s="3" t="n"/>
      <c r="T31" s="3" t="n"/>
      <c r="U31" s="3" t="n"/>
      <c r="V31" s="3" t="n"/>
      <c r="W31" s="3" t="n"/>
      <c r="X31" s="3" t="n"/>
      <c r="Y31" s="3" t="n"/>
      <c r="Z31" s="3" t="n"/>
    </row>
    <row r="32">
      <c r="A32" s="13" t="inlineStr">
        <is>
          <t>TC-APR-004</t>
        </is>
      </c>
      <c r="B32" s="13" t="inlineStr">
        <is>
          <t>承認操作</t>
        </is>
      </c>
      <c r="C32" s="13" t="inlineStr">
        <is>
          <t>再申請</t>
        </is>
      </c>
      <c r="D32" s="13" t="inlineStr">
        <is>
          <t>差戻し後に申請者が再申請</t>
        </is>
      </c>
      <c r="E32" s="13" t="inlineStr">
        <is>
          <t>申請者としてログイン済み、稟議が「要修正」ステータス</t>
        </is>
      </c>
      <c r="F32" s="13" t="inlineStr">
        <is>
          <t>1. に移動する own ringi with 'Need Revision' status
2. 「編集」をクリック
3. フィードバックに基づいて項目を変更
4. 変更内容の差分メモを追加
5. 再申請</t>
        </is>
      </c>
      <c r="G32" s="13" t="inlineStr">
        <is>
          <t>ステータスが「保留中」に戻る. Diff memo recorded. タイムラインに修正履歴が表示される. 以前のバージョンが保持される.</t>
        </is>
      </c>
      <c r="H32" s="5" t="inlineStr">
        <is>
          <t>P1</t>
        </is>
      </c>
      <c r="I32" s="12" t="inlineStr">
        <is>
          <t>一部実装</t>
        </is>
      </c>
      <c r="J32" s="13" t="inlineStr">
        <is>
          <t>申請者は編集可能だが、差分メモフィールドなし。バージョン履歴なし。再申請専用フローなし。</t>
        </is>
      </c>
      <c r="K32" s="13" t="inlineStr">
        <is>
          <t>https://eb-filemg-development.vercel.app</t>
        </is>
      </c>
      <c r="L32" s="7" t="inlineStr">
        <is>
          <t>N/A</t>
        </is>
      </c>
      <c r="M32" s="8" t="n"/>
      <c r="N32" s="8" t="n"/>
      <c r="O32" s="13" t="inlineStr">
        <is>
          <t>Spec 6.3 (承認操作)
→ "ステータス: Draft / Applying / Waiting for Approval (by stage) / Sent Back / Rejected / Approved / Expired."</t>
        </is>
      </c>
      <c r="P32" s="3" t="n"/>
      <c r="Q32" s="3" t="n"/>
      <c r="R32" s="3" t="n"/>
      <c r="S32" s="3" t="n"/>
      <c r="T32" s="3" t="n"/>
      <c r="U32" s="3" t="n"/>
      <c r="V32" s="3" t="n"/>
      <c r="W32" s="3" t="n"/>
      <c r="X32" s="3" t="n"/>
      <c r="Y32" s="3" t="n"/>
      <c r="Z32" s="3" t="n"/>
    </row>
    <row r="33">
      <c r="A33" s="13" t="inlineStr">
        <is>
          <t>TC-APR-005</t>
        </is>
      </c>
      <c r="B33" s="13" t="inlineStr">
        <is>
          <t>承認操作</t>
        </is>
      </c>
      <c r="C33" s="13" t="inlineStr">
        <is>
          <t>ステータス - 下書き</t>
        </is>
      </c>
      <c r="D33" s="13" t="inlineStr">
        <is>
          <t>稟議を下書きステータスで保存</t>
        </is>
      </c>
      <c r="E33" s="13" t="inlineStr">
        <is>
          <t>ログイン済み</t>
        </is>
      </c>
      <c r="F33" s="13" t="inlineStr">
        <is>
          <t>1. Start creating a ringi
2. 保存 as Draft (not submit)
3. ステータスが表示されることを確認 'Draft'
4. Edit the draft later
5. 下書きを送信</t>
        </is>
      </c>
      <c r="G33" s="13" t="inlineStr">
        <is>
          <t>下書きステータスがサポートされる. Draft not visible to approvers. 申請者のみ下書きの閲覧と編集が可能.</t>
        </is>
      </c>
      <c r="H33" s="9" t="inlineStr">
        <is>
          <t>P2</t>
        </is>
      </c>
      <c r="I33" s="10" t="inlineStr">
        <is>
          <t>未実装</t>
        </is>
      </c>
      <c r="J33" s="13" t="inlineStr">
        <is>
          <t>システムに「下書き」ステータスなし。仕様では申請前の初期状態としてDraftを要求。</t>
        </is>
      </c>
      <c r="K33" s="13" t="inlineStr">
        <is>
          <t>https://eb-filemg-development.vercel.app</t>
        </is>
      </c>
      <c r="L33" s="7" t="inlineStr">
        <is>
          <t>N/A</t>
        </is>
      </c>
      <c r="M33" s="8" t="n"/>
      <c r="N33" s="8" t="n"/>
      <c r="O33" s="13" t="inlineStr">
        <is>
          <t>Spec 6.3 (承認操作)
→ "ステータス: Draft / Applying / Waiting for Approval (by stage) / Sent Back / Rejected / Approved / Expired."</t>
        </is>
      </c>
      <c r="P33" s="3" t="n"/>
      <c r="Q33" s="3" t="n"/>
      <c r="R33" s="3" t="n"/>
      <c r="S33" s="3" t="n"/>
      <c r="T33" s="3" t="n"/>
      <c r="U33" s="3" t="n"/>
      <c r="V33" s="3" t="n"/>
      <c r="W33" s="3" t="n"/>
      <c r="X33" s="3" t="n"/>
      <c r="Y33" s="3" t="n"/>
      <c r="Z33" s="3" t="n"/>
    </row>
    <row r="34">
      <c r="A34" s="13" t="inlineStr">
        <is>
          <t>TC-APR-006</t>
        </is>
      </c>
      <c r="B34" s="13" t="inlineStr">
        <is>
          <t>承認操作</t>
        </is>
      </c>
      <c r="C34" s="13" t="inlineStr">
        <is>
          <t>ステータス - 申請済み</t>
        </is>
      </c>
      <c r="D34" s="13" t="inlineStr">
        <is>
          <t>「申請済み」と「保留中」のステータス区別を確認</t>
        </is>
      </c>
      <c r="E34" s="13" t="inlineStr">
        <is>
          <t>ユーザーが稟議を申請</t>
        </is>
      </c>
      <c r="F34" s="13" t="inlineStr">
        <is>
          <t>1. Submit a new ringi
2. Check status immediately after submission
3. 確認する it shows 'Submitted' before entering approval queue</t>
        </is>
      </c>
      <c r="G34" s="13" t="inlineStr">
        <is>
          <t>各段階の前に申請済みステータスが表示される 'Pending Approval'. 視覚的に区別される指標.</t>
        </is>
      </c>
      <c r="H34" s="11" t="inlineStr">
        <is>
          <t>P3</t>
        </is>
      </c>
      <c r="I34" s="10" t="inlineStr">
        <is>
          <t>未実装</t>
        </is>
      </c>
      <c r="J34" s="13" t="inlineStr">
        <is>
          <t>コードは両方に'pending'を使用。仕様では'submitted'と'pending approval'を区別。</t>
        </is>
      </c>
      <c r="K34" s="13" t="inlineStr">
        <is>
          <t>https://eb-filemg-development.vercel.app</t>
        </is>
      </c>
      <c r="L34" s="7" t="inlineStr">
        <is>
          <t>N/A</t>
        </is>
      </c>
      <c r="M34" s="8" t="n"/>
      <c r="N34" s="8" t="n"/>
      <c r="O34" s="13" t="inlineStr">
        <is>
          <t>Spec 6.3 (承認操作)
→ "ステータス: Draft / Applying / Waiting for Approval (by stage) / Sent Back / Rejected / Approved / Expired."</t>
        </is>
      </c>
      <c r="P34" s="3" t="n"/>
      <c r="Q34" s="3" t="n"/>
      <c r="R34" s="3" t="n"/>
      <c r="S34" s="3" t="n"/>
      <c r="T34" s="3" t="n"/>
      <c r="U34" s="3" t="n"/>
      <c r="V34" s="3" t="n"/>
      <c r="W34" s="3" t="n"/>
      <c r="X34" s="3" t="n"/>
      <c r="Y34" s="3" t="n"/>
      <c r="Z34" s="3" t="n"/>
    </row>
    <row r="35">
      <c r="A35" s="13" t="inlineStr">
        <is>
          <t>TC-APR-007</t>
        </is>
      </c>
      <c r="B35" s="13" t="inlineStr">
        <is>
          <t>承認操作</t>
        </is>
      </c>
      <c r="C35" s="13" t="inlineStr">
        <is>
          <t>ステータス - 期限切れ</t>
        </is>
      </c>
      <c r="D35" s="13" t="inlineStr">
        <is>
          <t>稟議の期限切れを確認</t>
        </is>
      </c>
      <c r="E35" s="13" t="inlineStr">
        <is>
          <t>希望承認日が過去の稟議</t>
        </is>
      </c>
      <c r="F35" s="13" t="inlineStr">
        <is>
          <t>1. で稟議を作成 due date in the past
2. を待つ expiration check to run (scheduled job)
3. 確認する status changes to 'Expired'
4. 確認する visual indicator shows expiration</t>
        </is>
      </c>
      <c r="G35" s="13" t="inlineStr">
        <is>
          <t>期限超過の稟議が自動的に「期限切れ」ステータスに設定される. カードと詳細に期限切れの表示.</t>
        </is>
      </c>
      <c r="H35" s="9" t="inlineStr">
        <is>
          <t>P2</t>
        </is>
      </c>
      <c r="I35" s="10" t="inlineStr">
        <is>
          <t>未実装</t>
        </is>
      </c>
      <c r="J35" s="13" t="inlineStr">
        <is>
          <t>「期限切れ」ステータスなし。due_atカラムなし。定期的な期限チェックなし。</t>
        </is>
      </c>
      <c r="K35" s="13" t="inlineStr">
        <is>
          <t>https://eb-filemg-development.vercel.app</t>
        </is>
      </c>
      <c r="L35" s="7" t="inlineStr">
        <is>
          <t>N/A</t>
        </is>
      </c>
      <c r="M35" s="8" t="n"/>
      <c r="N35" s="8" t="n"/>
      <c r="O35" s="13" t="inlineStr">
        <is>
          <t>Spec 6.3 (承認操作)
→ "ステータス: Draft / Applying / Waiting for Approval (by stage) / Sent Back / Rejected / Approved / Expired."</t>
        </is>
      </c>
      <c r="P35" s="3" t="n"/>
      <c r="Q35" s="3" t="n"/>
      <c r="R35" s="3" t="n"/>
      <c r="S35" s="3" t="n"/>
      <c r="T35" s="3" t="n"/>
      <c r="U35" s="3" t="n"/>
      <c r="V35" s="3" t="n"/>
      <c r="W35" s="3" t="n"/>
      <c r="X35" s="3" t="n"/>
      <c r="Y35" s="3" t="n"/>
      <c r="Z35" s="3" t="n"/>
    </row>
    <row r="36">
      <c r="A36" s="13" t="inlineStr">
        <is>
          <t>TC-APR-008</t>
        </is>
      </c>
      <c r="B36" s="13" t="inlineStr">
        <is>
          <t>承認操作</t>
        </is>
      </c>
      <c r="C36" s="13" t="inlineStr">
        <is>
          <t>多段階承認</t>
        </is>
      </c>
      <c r="D36" s="13" t="inlineStr">
        <is>
          <t>第1段階承認者が承認し第2段階へ</t>
        </is>
      </c>
      <c r="E36" s="13" t="inlineStr">
        <is>
          <t>多段階ルート設定済み、稟議が申請済み</t>
        </is>
      </c>
      <c r="F36" s="13" t="inlineStr">
        <is>
          <t>1. としてログイン Step 1 approver
2. Find ringi pending at Step 1
3. Approve the ringi
4. ログアウト
5. としてログイン Step 2 approver
6. 確認する ringi now pending at Step 2
7. Approve at Step 2</t>
        </is>
      </c>
      <c r="G36" s="13" t="inlineStr">
        <is>
          <t>第1段階承認後、稟議が第2段階に進む. Step 1 recorded in history. Step 2 approver sees it in queue.</t>
        </is>
      </c>
      <c r="H36" s="5" t="inlineStr">
        <is>
          <t>P1</t>
        </is>
      </c>
      <c r="I36" s="10" t="inlineStr">
        <is>
          <t>未実装</t>
        </is>
      </c>
      <c r="J36" s="13" t="inlineStr">
        <is>
          <t>多段階ワークフローなし。単一フラット承認のみ。approval_step_historyテーブルなし。</t>
        </is>
      </c>
      <c r="K36" s="13" t="inlineStr">
        <is>
          <t>https://eb-filemg-development.vercel.app</t>
        </is>
      </c>
      <c r="L36" s="7" t="inlineStr">
        <is>
          <t>N/A</t>
        </is>
      </c>
      <c r="M36" s="8" t="n"/>
      <c r="N36" s="8" t="n"/>
      <c r="O36" s="13" t="inlineStr">
        <is>
          <t>Spec 6.3 (承認操作)
→ "ステータス: Draft / Applying / Waiting for Approval (by stage) / Sent Back / Rejected / Approved / Expired."</t>
        </is>
      </c>
      <c r="P36" s="3" t="n"/>
      <c r="Q36" s="3" t="n"/>
      <c r="R36" s="3" t="n"/>
      <c r="S36" s="3" t="n"/>
      <c r="T36" s="3" t="n"/>
      <c r="U36" s="3" t="n"/>
      <c r="V36" s="3" t="n"/>
      <c r="W36" s="3" t="n"/>
      <c r="X36" s="3" t="n"/>
      <c r="Y36" s="3" t="n"/>
      <c r="Z36" s="3" t="n"/>
    </row>
    <row r="37">
      <c r="A37" s="13" t="inlineStr">
        <is>
          <t>TC-APR-009</t>
        </is>
      </c>
      <c r="B37" s="13" t="inlineStr">
        <is>
          <t>承認操作</t>
        </is>
      </c>
      <c r="C37" s="13" t="inlineStr">
        <is>
          <t>多段階承認</t>
        </is>
      </c>
      <c r="D37" s="13" t="inlineStr">
        <is>
          <t>第2段階から申請者へ差戻し</t>
        </is>
      </c>
      <c r="E37" s="13" t="inlineStr">
        <is>
          <t>多段階ルート、稟議が第2段階</t>
        </is>
      </c>
      <c r="F37" s="13" t="inlineStr">
        <is>
          <t>1. としてログイン Step 2 approver
2. Send back the ringi with comments
3. としてログイン requester
4. 確認する ringi returns to editable state
5. 再申請 after corrections</t>
        </is>
      </c>
      <c r="G37" s="13" t="inlineStr">
        <is>
          <t>どの段階からの差戻しも申請者に戻る. Previous step approvals recorded. 第1段階からの再承認が必要.</t>
        </is>
      </c>
      <c r="H37" s="5" t="inlineStr">
        <is>
          <t>P1</t>
        </is>
      </c>
      <c r="I37" s="10" t="inlineStr">
        <is>
          <t>未実装</t>
        </is>
      </c>
      <c r="J37" s="13" t="inlineStr">
        <is>
          <t>段階ベースの差戻しロジックなし。</t>
        </is>
      </c>
      <c r="K37" s="13" t="inlineStr">
        <is>
          <t>https://eb-filemg-development.vercel.app</t>
        </is>
      </c>
      <c r="L37" s="7" t="inlineStr">
        <is>
          <t>N/A</t>
        </is>
      </c>
      <c r="M37" s="8" t="n"/>
      <c r="N37" s="8" t="n"/>
      <c r="O37" s="13" t="inlineStr">
        <is>
          <t>Spec 6.3 (承認操作)
→ "ステータス: Draft / Applying / Waiting for Approval (by stage) / Sent Back / Rejected / Approved / Expired."</t>
        </is>
      </c>
      <c r="P37" s="3" t="n"/>
      <c r="Q37" s="3" t="n"/>
      <c r="R37" s="3" t="n"/>
      <c r="S37" s="3" t="n"/>
      <c r="T37" s="3" t="n"/>
      <c r="U37" s="3" t="n"/>
      <c r="V37" s="3" t="n"/>
      <c r="W37" s="3" t="n"/>
      <c r="X37" s="3" t="n"/>
      <c r="Y37" s="3" t="n"/>
      <c r="Z37" s="3" t="n"/>
    </row>
    <row r="38">
      <c r="A38" s="13" t="inlineStr">
        <is>
          <t>TC-APR-010</t>
        </is>
      </c>
      <c r="B38" s="13" t="inlineStr">
        <is>
          <t>承認操作</t>
        </is>
      </c>
      <c r="C38" s="13" t="inlineStr">
        <is>
          <t>多段階承認</t>
        </is>
      </c>
      <c r="D38" s="13" t="inlineStr">
        <is>
          <t>段階別承認履歴の表示</t>
        </is>
      </c>
      <c r="E38" s="13" t="inlineStr">
        <is>
          <t>多段階承認済みの稟議が存在</t>
        </is>
      </c>
      <c r="F38" s="13" t="inlineStr">
        <is>
          <t>1. に移動する fully approved ringi detail
2. 承認タイムライン/履歴を表示
3. Check each step shows: approver name, action, timestamp, comments</t>
        </is>
      </c>
      <c r="G38" s="13" t="inlineStr">
        <is>
          <t>タイムラインに各承認段階が表示される. Each entry includes who approved, when, and any comments. Visual step indicator.</t>
        </is>
      </c>
      <c r="H38" s="5" t="inlineStr">
        <is>
          <t>P1</t>
        </is>
      </c>
      <c r="I38" s="10" t="inlineStr">
        <is>
          <t>未実装</t>
        </is>
      </c>
      <c r="J38" s="13" t="inlineStr">
        <is>
          <t>タイムラインコンポーネントは視覚的に存在するが、実際の段階データに接続されていない。</t>
        </is>
      </c>
      <c r="K38" s="13" t="inlineStr">
        <is>
          <t>https://eb-filemg-development.vercel.app</t>
        </is>
      </c>
      <c r="L38" s="7" t="inlineStr">
        <is>
          <t>N/A</t>
        </is>
      </c>
      <c r="M38" s="8" t="n"/>
      <c r="N38" s="8" t="n"/>
      <c r="O38" s="13" t="inlineStr">
        <is>
          <t>Spec 6.3 (承認操作)
→ "ステータス: Draft / Applying / Waiting for Approval (by stage) / Sent Back / Rejected / Approved / Expired."</t>
        </is>
      </c>
      <c r="P38" s="3" t="n"/>
      <c r="Q38" s="3" t="n"/>
      <c r="R38" s="3" t="n"/>
      <c r="S38" s="3" t="n"/>
      <c r="T38" s="3" t="n"/>
      <c r="U38" s="3" t="n"/>
      <c r="V38" s="3" t="n"/>
      <c r="W38" s="3" t="n"/>
      <c r="X38" s="3" t="n"/>
      <c r="Y38" s="3" t="n"/>
      <c r="Z38" s="3" t="n"/>
    </row>
    <row r="39">
      <c r="A39" s="13" t="inlineStr">
        <is>
          <t>TC-APR-011</t>
        </is>
      </c>
      <c r="B39" s="13" t="inlineStr">
        <is>
          <t>承認操作</t>
        </is>
      </c>
      <c r="C39" s="13" t="inlineStr">
        <is>
          <t>期限管理</t>
        </is>
      </c>
      <c r="D39" s="13" t="inlineStr">
        <is>
          <t>24時間前リマインダー通知の確認</t>
        </is>
      </c>
      <c r="E39" s="13" t="inlineStr">
        <is>
          <t>期限が24時間後の稟議</t>
        </is>
      </c>
      <c r="F39" s="13" t="inlineStr">
        <is>
          <t>1. で稟議を作成 due date 24 hours from now
2. を待つ reminder trigger (scheduled job)
3. Check approver receives 24h reminder via email/Slack</t>
        </is>
      </c>
      <c r="G39" s="13" t="inlineStr">
        <is>
          <t>24時間前リマインダーが現在の承認者に送信される 設定されたチャネル経由.</t>
        </is>
      </c>
      <c r="H39" s="9" t="inlineStr">
        <is>
          <t>P2</t>
        </is>
      </c>
      <c r="I39" s="10" t="inlineStr">
        <is>
          <t>未実装</t>
        </is>
      </c>
      <c r="J39" s="13" t="inlineStr">
        <is>
          <t>due_atカラムなし。リマインダースケジューリングなし。リマインダー用のcron/n8nジョブなし。</t>
        </is>
      </c>
      <c r="K39" s="13" t="inlineStr">
        <is>
          <t>https://eb-filemg-development.vercel.app</t>
        </is>
      </c>
      <c r="L39" s="7" t="inlineStr">
        <is>
          <t>N/A</t>
        </is>
      </c>
      <c r="M39" s="8" t="n"/>
      <c r="N39" s="8" t="n"/>
      <c r="O39" s="13" t="inlineStr">
        <is>
          <t>Spec 6.3 (承認操作)
→ "期限管理: 24時間/72時間リマインダー, 期限超過時のエスカレーション."</t>
        </is>
      </c>
      <c r="P39" s="3" t="n"/>
      <c r="Q39" s="3" t="n"/>
      <c r="R39" s="3" t="n"/>
      <c r="S39" s="3" t="n"/>
      <c r="T39" s="3" t="n"/>
      <c r="U39" s="3" t="n"/>
      <c r="V39" s="3" t="n"/>
      <c r="W39" s="3" t="n"/>
      <c r="X39" s="3" t="n"/>
      <c r="Y39" s="3" t="n"/>
      <c r="Z39" s="3" t="n"/>
    </row>
    <row r="40">
      <c r="A40" s="13" t="inlineStr">
        <is>
          <t>TC-APR-012</t>
        </is>
      </c>
      <c r="B40" s="13" t="inlineStr">
        <is>
          <t>承認操作</t>
        </is>
      </c>
      <c r="C40" s="13" t="inlineStr">
        <is>
          <t>期限管理</t>
        </is>
      </c>
      <c r="D40" s="13" t="inlineStr">
        <is>
          <t>72時間前リマインダー通知の確認</t>
        </is>
      </c>
      <c r="E40" s="13" t="inlineStr">
        <is>
          <t>期限が72時間後の稟議</t>
        </is>
      </c>
      <c r="F40" s="13" t="inlineStr">
        <is>
          <t>1. で稟議を作成 due date 72 hours from now
2. を待つ 72h reminder trigger
3. Check approver receives 72h reminder</t>
        </is>
      </c>
      <c r="G40" s="13" t="inlineStr">
        <is>
          <t>72時間前リマインダーが現在の承認者に送信される 設定された通知チャネル経由.</t>
        </is>
      </c>
      <c r="H40" s="9" t="inlineStr">
        <is>
          <t>P2</t>
        </is>
      </c>
      <c r="I40" s="10" t="inlineStr">
        <is>
          <t>未実装</t>
        </is>
      </c>
      <c r="J40" s="13" t="inlineStr">
        <is>
          <t>due_atカラムなし。リマインダースケジューリングなし。</t>
        </is>
      </c>
      <c r="K40" s="13" t="inlineStr">
        <is>
          <t>https://eb-filemg-development.vercel.app</t>
        </is>
      </c>
      <c r="L40" s="7" t="inlineStr">
        <is>
          <t>N/A</t>
        </is>
      </c>
      <c r="M40" s="8" t="n"/>
      <c r="N40" s="8" t="n"/>
      <c r="O40" s="13" t="inlineStr">
        <is>
          <t>Spec 6.3 (承認操作)
→ "期限管理: 24時間/72時間リマインダー, 期限超過時のエスカレーション."</t>
        </is>
      </c>
      <c r="P40" s="3" t="n"/>
      <c r="Q40" s="3" t="n"/>
      <c r="R40" s="3" t="n"/>
      <c r="S40" s="3" t="n"/>
      <c r="T40" s="3" t="n"/>
      <c r="U40" s="3" t="n"/>
      <c r="V40" s="3" t="n"/>
      <c r="W40" s="3" t="n"/>
      <c r="X40" s="3" t="n"/>
      <c r="Y40" s="3" t="n"/>
      <c r="Z40" s="3" t="n"/>
    </row>
    <row r="41">
      <c r="A41" s="13" t="inlineStr">
        <is>
          <t>TC-APR-013</t>
        </is>
      </c>
      <c r="B41" s="13" t="inlineStr">
        <is>
          <t>承認操作</t>
        </is>
      </c>
      <c r="C41" s="13" t="inlineStr">
        <is>
          <t>エスカレーション</t>
        </is>
      </c>
      <c r="D41" s="13" t="inlineStr">
        <is>
          <t>期限超過時のエスカレーション確認</t>
        </is>
      </c>
      <c r="E41" s="13" t="inlineStr">
        <is>
          <t>期限超過で未対応の稟議</t>
        </is>
      </c>
      <c r="F41" s="13" t="inlineStr">
        <is>
          <t>1. Identify ringi past its due date
2. 確認する escalation triggers automatically
3. Check escalation target receives notification
4. 確認する escalated_to field populated</t>
        </is>
      </c>
      <c r="G41" s="13" t="inlineStr">
        <is>
          <t>期限超過の稟議が上位の承認者または管理者にエスカレーション. エスカレーションが監査ログに記録される.</t>
        </is>
      </c>
      <c r="H41" s="9" t="inlineStr">
        <is>
          <t>P2</t>
        </is>
      </c>
      <c r="I41" s="10" t="inlineStr">
        <is>
          <t>未実装</t>
        </is>
      </c>
      <c r="J41" s="13" t="inlineStr">
        <is>
          <t>エスカレーションロジックまたはescalated_toフィールドなし。</t>
        </is>
      </c>
      <c r="K41" s="13" t="inlineStr">
        <is>
          <t>https://eb-filemg-development.vercel.app</t>
        </is>
      </c>
      <c r="L41" s="7" t="inlineStr">
        <is>
          <t>N/A</t>
        </is>
      </c>
      <c r="M41" s="8" t="n"/>
      <c r="N41" s="8" t="n"/>
      <c r="O41" s="13" t="inlineStr">
        <is>
          <t>Spec 6.3 (承認操作)
→ "期限管理: 24時間/72時間リマインダー, 期限超過時のエスカレーション."</t>
        </is>
      </c>
      <c r="P41" s="3" t="n"/>
      <c r="Q41" s="3" t="n"/>
      <c r="R41" s="3" t="n"/>
      <c r="S41" s="3" t="n"/>
      <c r="T41" s="3" t="n"/>
      <c r="U41" s="3" t="n"/>
      <c r="V41" s="3" t="n"/>
      <c r="W41" s="3" t="n"/>
      <c r="X41" s="3" t="n"/>
      <c r="Y41" s="3" t="n"/>
      <c r="Z41" s="3" t="n"/>
    </row>
    <row r="42">
      <c r="A42" s="13" t="inlineStr">
        <is>
          <t>TC-APR-014</t>
        </is>
      </c>
      <c r="B42" s="13" t="inlineStr">
        <is>
          <t>承認操作</t>
        </is>
      </c>
      <c r="C42" s="13" t="inlineStr">
        <is>
          <t>コメント</t>
        </is>
      </c>
      <c r="D42" s="13" t="inlineStr">
        <is>
          <t>差戻し時のコメント必須確認</t>
        </is>
      </c>
      <c r="E42" s="13" t="inlineStr">
        <is>
          <t>管理者としてログイン済み、保留中の稟議が存在</t>
        </is>
      </c>
      <c r="F42" s="13" t="inlineStr">
        <is>
          <t>1. 保留中の稟議に移動する
2. 「差戻し」をクリック / 'Request Revision'
3. Try to submit without comments
4. 確認する validation error
5. Enter comments and submit</t>
        </is>
      </c>
      <c r="G42" s="13" t="inlineStr">
        <is>
          <t>コメントなしの差戻しがブロックされる. バリデーションエラーが表示される. コメント付きで差戻しが成功する.</t>
        </is>
      </c>
      <c r="H42" s="9" t="inlineStr">
        <is>
          <t>P2</t>
        </is>
      </c>
      <c r="I42" s="12" t="inlineStr">
        <is>
          <t>一部実装</t>
        </is>
      </c>
      <c r="J42" s="13" t="inlineStr">
        <is>
          <t>修正依頼アクションは存在するが、コメント必須が厳密に適用されていない可能性。</t>
        </is>
      </c>
      <c r="K42" s="13" t="inlineStr">
        <is>
          <t>https://eb-filemg-development.vercel.app</t>
        </is>
      </c>
      <c r="L42" s="7" t="inlineStr">
        <is>
          <t>N/A</t>
        </is>
      </c>
      <c r="M42" s="8" t="n"/>
      <c r="N42" s="8" t="n"/>
      <c r="O42" s="13" t="inlineStr">
        <is>
          <t>Spec 6.3 (承認操作)
→ "差戻しと却下にはコメントが必須. 再申請時の差分メモ."</t>
        </is>
      </c>
      <c r="P42" s="3" t="n"/>
      <c r="Q42" s="3" t="n"/>
      <c r="R42" s="3" t="n"/>
      <c r="S42" s="3" t="n"/>
      <c r="T42" s="3" t="n"/>
      <c r="U42" s="3" t="n"/>
      <c r="V42" s="3" t="n"/>
      <c r="W42" s="3" t="n"/>
      <c r="X42" s="3" t="n"/>
      <c r="Y42" s="3" t="n"/>
      <c r="Z42" s="3" t="n"/>
    </row>
    <row r="43">
      <c r="A43" s="13" t="inlineStr">
        <is>
          <t>TC-APR-015</t>
        </is>
      </c>
      <c r="B43" s="13" t="inlineStr">
        <is>
          <t>承認操作</t>
        </is>
      </c>
      <c r="C43" s="13" t="inlineStr">
        <is>
          <t>コメント</t>
        </is>
      </c>
      <c r="D43" s="13" t="inlineStr">
        <is>
          <t>却下時のコメント必須確認</t>
        </is>
      </c>
      <c r="E43" s="13" t="inlineStr">
        <is>
          <t>管理者としてログイン済み、保留中の稟議が存在</t>
        </is>
      </c>
      <c r="F43" s="13" t="inlineStr">
        <is>
          <t>1. 保留中の稟議に移動する
2. 「却下」をクリック
3. Try to submit without rejection reason
4. 確認する validation error
5. Enter reason and submit</t>
        </is>
      </c>
      <c r="G43" s="13" t="inlineStr">
        <is>
          <t>理由なしの却下がブロックされる. エラーメッセージが表示される. 理由付きで却下が成功する.</t>
        </is>
      </c>
      <c r="H43" s="5" t="inlineStr">
        <is>
          <t>P1</t>
        </is>
      </c>
      <c r="I43" s="6" t="inlineStr">
        <is>
          <t>実装済み</t>
        </is>
      </c>
      <c r="J43" s="13" t="inlineStr">
        <is>
          <t>UIで却下理由は必須。</t>
        </is>
      </c>
      <c r="K43" s="13" t="inlineStr">
        <is>
          <t>https://eb-filemg-development.vercel.app</t>
        </is>
      </c>
      <c r="L43" s="7" t="inlineStr">
        <is>
          <t>N/A</t>
        </is>
      </c>
      <c r="M43" s="8" t="n"/>
      <c r="N43" s="8" t="n"/>
      <c r="O43" s="13" t="inlineStr">
        <is>
          <t>Spec 6.3 (承認操作)
→ "差戻しと却下にはコメントが必須. 再申請時の差分メモ."</t>
        </is>
      </c>
      <c r="P43" s="3" t="n"/>
      <c r="Q43" s="3" t="n"/>
      <c r="R43" s="3" t="n"/>
      <c r="S43" s="3" t="n"/>
      <c r="T43" s="3" t="n"/>
      <c r="U43" s="3" t="n"/>
      <c r="V43" s="3" t="n"/>
      <c r="W43" s="3" t="n"/>
      <c r="X43" s="3" t="n"/>
      <c r="Y43" s="3" t="n"/>
      <c r="Z43" s="3" t="n"/>
    </row>
    <row r="44">
      <c r="A44" s="13" t="inlineStr">
        <is>
          <t>TC-APR-018</t>
        </is>
      </c>
      <c r="B44" s="13" t="inlineStr">
        <is>
          <t>承認操作</t>
        </is>
      </c>
      <c r="C44" s="13" t="inlineStr">
        <is>
          <t>バージョン管理</t>
        </is>
      </c>
      <c r="D44" s="13" t="inlineStr">
        <is>
          <t>添付ファイルのバージョン管理確認</t>
        </is>
      </c>
      <c r="E44" s="13" t="inlineStr">
        <is>
          <t>添付付き稟議、差戻し後に再申請</t>
        </is>
      </c>
      <c r="F44" s="13" t="inlineStr">
        <is>
          <t>1. Submit ringi with document v1
2. Get sent back by approver
3. 再申請 with updated document v2
4. View attachment history on detail page</t>
        </is>
      </c>
      <c r="G44" s="13" t="inlineStr">
        <is>
          <t>両バージョンが表示される. バージョン番号が表示される (v1, v2). 元のバージョンが保持される. 新バージョンがリンクされる.</t>
        </is>
      </c>
      <c r="H44" s="11" t="inlineStr">
        <is>
          <t>P3</t>
        </is>
      </c>
      <c r="I44" s="10" t="inlineStr">
        <is>
          <t>未実装</t>
        </is>
      </c>
      <c r="J44" s="13" t="inlineStr">
        <is>
          <t>ドキュメントにバージョンフィールドなし。バージョン履歴表示なし。</t>
        </is>
      </c>
      <c r="K44" s="13" t="inlineStr">
        <is>
          <t>https://eb-filemg-development.vercel.app</t>
        </is>
      </c>
      <c r="L44" s="7" t="inlineStr">
        <is>
          <t>N/A</t>
        </is>
      </c>
      <c r="M44" s="8" t="n"/>
      <c r="N44" s="8" t="n"/>
      <c r="O44" s="13" t="inlineStr">
        <is>
          <t>Spec 6.3 (承認操作)
→ "添付ファイルプレビュー, ハッシュ保存による改ざん検知."</t>
        </is>
      </c>
      <c r="P44" s="3" t="n"/>
      <c r="Q44" s="3" t="n"/>
      <c r="R44" s="3" t="n"/>
      <c r="S44" s="3" t="n"/>
      <c r="T44" s="3" t="n"/>
      <c r="U44" s="3" t="n"/>
      <c r="V44" s="3" t="n"/>
      <c r="W44" s="3" t="n"/>
      <c r="X44" s="3" t="n"/>
      <c r="Y44" s="3" t="n"/>
      <c r="Z44" s="3" t="n"/>
    </row>
    <row r="45">
      <c r="A45" s="13" t="inlineStr">
        <is>
          <t>TC-APR-019</t>
        </is>
      </c>
      <c r="B45" s="13" t="inlineStr">
        <is>
          <t>承認操作</t>
        </is>
      </c>
      <c r="C45" s="13" t="inlineStr">
        <is>
          <t>承認</t>
        </is>
      </c>
      <c r="D45" s="13" t="inlineStr">
        <is>
          <t>スーパー管理者が保留中の稟議を承認</t>
        </is>
      </c>
      <c r="E45" s="13" t="inlineStr">
        <is>
          <t>スーパー管理者としてログイン済み、保留中の稟議が存在</t>
        </is>
      </c>
      <c r="F45" s="13" t="inlineStr">
        <is>
          <t>1. としてログイン superadmin
2. 保留中の稟議に移動する
3. 「承認」をクリック
4. Enter optional notes
5. Confirm</t>
        </is>
      </c>
      <c r="G45" s="13" t="inlineStr">
        <is>
          <t>スーパー管理者が承認可能. ステータスが変更される: 'Approved'. アクティビティログに記録される superadmin approval.</t>
        </is>
      </c>
      <c r="H45" s="5" t="inlineStr">
        <is>
          <t>P1</t>
        </is>
      </c>
      <c r="I45" s="6" t="inlineStr">
        <is>
          <t>実装済み</t>
        </is>
      </c>
      <c r="J45" s="13" t="inlineStr">
        <is>
          <t>スーパー管理者は管理者と同じ承認権限を持つ。</t>
        </is>
      </c>
      <c r="K45" s="13" t="inlineStr">
        <is>
          <t>https://eb-filemg-development.vercel.app</t>
        </is>
      </c>
      <c r="L45" s="7" t="inlineStr">
        <is>
          <t>N/A</t>
        </is>
      </c>
      <c r="M45" s="8" t="n"/>
      <c r="N45" s="8" t="n"/>
      <c r="O45" s="13" t="inlineStr">
        <is>
          <t>Spec 6.3 (承認操作)
→ "ステータス: Draft / Applying / Waiting for Approval (by stage) / Sent Back / Rejected / Approved / Expired."</t>
        </is>
      </c>
      <c r="P45" s="3" t="n"/>
      <c r="Q45" s="3" t="n"/>
      <c r="R45" s="3" t="n"/>
      <c r="S45" s="3" t="n"/>
      <c r="T45" s="3" t="n"/>
      <c r="U45" s="3" t="n"/>
      <c r="V45" s="3" t="n"/>
      <c r="W45" s="3" t="n"/>
      <c r="X45" s="3" t="n"/>
      <c r="Y45" s="3" t="n"/>
      <c r="Z45" s="3" t="n"/>
    </row>
    <row r="46">
      <c r="A46" s="13" t="inlineStr">
        <is>
          <t>TC-APR-020</t>
        </is>
      </c>
      <c r="B46" s="13" t="inlineStr">
        <is>
          <t>承認操作</t>
        </is>
      </c>
      <c r="C46" s="13" t="inlineStr">
        <is>
          <t>ロールベースアクセス制御</t>
        </is>
      </c>
      <c r="D46" s="13" t="inlineStr">
        <is>
          <t>従業員は稟議を承認できない</t>
        </is>
      </c>
      <c r="E46" s="13" t="inlineStr">
        <is>
          <t>従業員としてログイン済み、他ユーザーの保留中の稟議が存在</t>
        </is>
      </c>
      <c r="F46" s="13" t="inlineStr">
        <is>
          <t>1. としてログイン employee
2. に移動する another user's pending ringi
3. 確認する approval action buttons</t>
        </is>
      </c>
      <c r="G46" s="13" t="inlineStr">
        <is>
          <t>承認/却下ボタンが表示されない for employee role. 管理者/スーパー管理者のみアクションボタンが表示される.</t>
        </is>
      </c>
      <c r="H46" s="5" t="inlineStr">
        <is>
          <t>P1</t>
        </is>
      </c>
      <c r="I46" s="6" t="inlineStr">
        <is>
          <t>実装済み</t>
        </is>
      </c>
      <c r="J46" s="13" t="inlineStr">
        <is>
          <t>サービス層でロールベースのステータス更新バリデーション。</t>
        </is>
      </c>
      <c r="K46" s="13" t="inlineStr">
        <is>
          <t>https://eb-filemg-development.vercel.app</t>
        </is>
      </c>
      <c r="L46" s="7" t="inlineStr">
        <is>
          <t>N/A</t>
        </is>
      </c>
      <c r="M46" s="8" t="n"/>
      <c r="N46" s="8" t="n"/>
      <c r="O46" s="13" t="inlineStr">
        <is>
          <t>Spec 6.3 (承認操作)
→ "ロールベースアクセス制御: 起案者は自分の申請を編集/閲覧, 承認者は割り当てられた案件を操作, 管理者は全件閲覧し設定変更."</t>
        </is>
      </c>
      <c r="P46" s="3" t="n"/>
      <c r="Q46" s="3" t="n"/>
      <c r="R46" s="3" t="n"/>
      <c r="S46" s="3" t="n"/>
      <c r="T46" s="3" t="n"/>
      <c r="U46" s="3" t="n"/>
      <c r="V46" s="3" t="n"/>
      <c r="W46" s="3" t="n"/>
      <c r="X46" s="3" t="n"/>
      <c r="Y46" s="3" t="n"/>
      <c r="Z46" s="3" t="n"/>
    </row>
    <row r="47">
      <c r="A47" s="13" t="inlineStr">
        <is>
          <t>TC-APR-021</t>
        </is>
      </c>
      <c r="B47" s="13" t="inlineStr">
        <is>
          <t>承認操作</t>
        </is>
      </c>
      <c r="C47" s="13" t="inlineStr">
        <is>
          <t>ロールベースアクセス制御</t>
        </is>
      </c>
      <c r="D47" s="13" t="inlineStr">
        <is>
          <t>経理担当者は閲覧のみ</t>
        </is>
      </c>
      <c r="E47" s="13" t="inlineStr">
        <is>
          <t>経理担当者としてログイン済み</t>
        </is>
      </c>
      <c r="F47" s="13" t="inlineStr">
        <is>
          <t>1. としてログイン accountant
2. に移動する any ringi detail page
3. 利用可能なアクションボタンを確認</t>
        </is>
      </c>
      <c r="G47" s="13" t="inlineStr">
        <is>
          <t>編集、承認、却下、取消ボタンが表示されない. 経理担当者は閲覧のみ.</t>
        </is>
      </c>
      <c r="H47" s="5" t="inlineStr">
        <is>
          <t>P1</t>
        </is>
      </c>
      <c r="I47" s="6" t="inlineStr">
        <is>
          <t>実装済み</t>
        </is>
      </c>
      <c r="J47" s="13" t="inlineStr">
        <is>
          <t>経理担当者ロールはステータス更新から除外。</t>
        </is>
      </c>
      <c r="K47" s="13" t="inlineStr">
        <is>
          <t>https://eb-filemg-development.vercel.app</t>
        </is>
      </c>
      <c r="L47" s="7" t="inlineStr">
        <is>
          <t>N/A</t>
        </is>
      </c>
      <c r="M47" s="8" t="n"/>
      <c r="N47" s="8" t="n"/>
      <c r="O47" s="13" t="inlineStr">
        <is>
          <t>Spec 6.3 (承認操作)
→ "ロールベースアクセス制御: 起案者は自分の申請を編集/閲覧, 承認者は割り当てられた案件を操作, 管理者は全件閲覧し設定変更."</t>
        </is>
      </c>
      <c r="P47" s="3" t="n"/>
      <c r="Q47" s="3" t="n"/>
      <c r="R47" s="3" t="n"/>
      <c r="S47" s="3" t="n"/>
      <c r="T47" s="3" t="n"/>
      <c r="U47" s="3" t="n"/>
      <c r="V47" s="3" t="n"/>
      <c r="W47" s="3" t="n"/>
      <c r="X47" s="3" t="n"/>
      <c r="Y47" s="3" t="n"/>
      <c r="Z47" s="3" t="n"/>
    </row>
    <row r="48">
      <c r="A48" s="13" t="inlineStr">
        <is>
          <t>TC-APR-022</t>
        </is>
      </c>
      <c r="B48" s="13" t="inlineStr">
        <is>
          <t>承認操作</t>
        </is>
      </c>
      <c r="C48" s="13" t="inlineStr">
        <is>
          <t>取消</t>
        </is>
      </c>
      <c r="D48" s="13" t="inlineStr">
        <is>
          <t>申請者以外は稟議を取消できない</t>
        </is>
      </c>
      <c r="E48" s="13" t="inlineStr">
        <is>
          <t>管理者としてログイン済み、他ユーザーの稟議</t>
        </is>
      </c>
      <c r="F48" s="13" t="inlineStr">
        <is>
          <t>1. としてログイン manager
2. に移動する another user's pending ringi detail
3. 確認する cancel option in options menu</t>
        </is>
      </c>
      <c r="G48" s="13" t="inlineStr">
        <is>
          <t>申請者以外に取消オプションが利用不可. リクエストの申請者のみ取消可能.</t>
        </is>
      </c>
      <c r="H48" s="9" t="inlineStr">
        <is>
          <t>P2</t>
        </is>
      </c>
      <c r="I48" s="6" t="inlineStr">
        <is>
          <t>実装済み</t>
        </is>
      </c>
      <c r="J48" s="13" t="inlineStr">
        <is>
          <t>キャンセルは申請者のみ利用可能。</t>
        </is>
      </c>
      <c r="K48" s="13" t="inlineStr">
        <is>
          <t>https://eb-filemg-development.vercel.app</t>
        </is>
      </c>
      <c r="L48" s="7" t="inlineStr">
        <is>
          <t>N/A</t>
        </is>
      </c>
      <c r="M48" s="8" t="n"/>
      <c r="N48" s="8" t="n"/>
      <c r="O48" s="13" t="inlineStr">
        <is>
          <t>Spec 6.3 (承認操作)
→ "ステータス: Draft / Applying / Waiting for Approval (by stage) / Sent Back / Rejected / Approved / Expired."</t>
        </is>
      </c>
      <c r="P48" s="3" t="n"/>
      <c r="Q48" s="3" t="n"/>
      <c r="R48" s="3" t="n"/>
      <c r="S48" s="3" t="n"/>
      <c r="T48" s="3" t="n"/>
      <c r="U48" s="3" t="n"/>
      <c r="V48" s="3" t="n"/>
      <c r="W48" s="3" t="n"/>
      <c r="X48" s="3" t="n"/>
      <c r="Y48" s="3" t="n"/>
      <c r="Z48" s="3" t="n"/>
    </row>
    <row r="49">
      <c r="A49" s="13" t="inlineStr">
        <is>
          <t>TC-NTF-001</t>
        </is>
      </c>
      <c r="B49" s="13" t="inlineStr">
        <is>
          <t>通知</t>
        </is>
      </c>
      <c r="C49" s="13" t="inlineStr">
        <is>
          <t>メール</t>
        </is>
      </c>
      <c r="D49" s="13" t="inlineStr">
        <is>
          <t>稟議申請時のメール通知</t>
        </is>
      </c>
      <c r="E49" s="13" t="inlineStr">
        <is>
          <t>稟議が申請済み、承認者のメールが設定済み</t>
        </is>
      </c>
      <c r="F49" s="13" t="inlineStr">
        <is>
          <t>1. Submit a new ringi
2. Check approver's email inbox
3. 確認する email contains ringi summary (subject, amount, requester, due date)
4. 確認する email contains link to approval page</t>
        </is>
      </c>
      <c r="G49" s="13" t="inlineStr">
        <is>
          <t>承認者が稟議概要と直接リンク付きメールを受信 to approval page.</t>
        </is>
      </c>
      <c r="H49" s="5" t="inlineStr">
        <is>
          <t>P1</t>
        </is>
      </c>
      <c r="I49" s="10" t="inlineStr">
        <is>
          <t>未実装</t>
        </is>
      </c>
      <c r="J49" s="13" t="inlineStr">
        <is>
          <t>メール通知サービスなし。仕様では承認リクエストにメールが必要。</t>
        </is>
      </c>
      <c r="K49" s="13" t="inlineStr">
        <is>
          <t>https://eb-filemg-development.vercel.app</t>
        </is>
      </c>
      <c r="L49" s="7" t="inlineStr">
        <is>
          <t>N/A</t>
        </is>
      </c>
      <c r="M49" s="8" t="n"/>
      <c r="N49" s="8" t="n"/>
      <c r="O49" s="13" t="inlineStr">
        <is>
          <t>Spec 6.6 (通知)
→ "承認依頼、リマインダー、差戻し、完了通知をメール/Slack DMで送信."</t>
        </is>
      </c>
      <c r="P49" s="3" t="n"/>
      <c r="Q49" s="3" t="n"/>
      <c r="R49" s="3" t="n"/>
      <c r="S49" s="3" t="n"/>
      <c r="T49" s="3" t="n"/>
      <c r="U49" s="3" t="n"/>
      <c r="V49" s="3" t="n"/>
      <c r="W49" s="3" t="n"/>
      <c r="X49" s="3" t="n"/>
      <c r="Y49" s="3" t="n"/>
      <c r="Z49" s="3" t="n"/>
    </row>
    <row r="50">
      <c r="A50" s="13" t="inlineStr">
        <is>
          <t>TC-NTF-002</t>
        </is>
      </c>
      <c r="B50" s="13" t="inlineStr">
        <is>
          <t>通知</t>
        </is>
      </c>
      <c r="C50" s="13" t="inlineStr">
        <is>
          <t>メール</t>
        </is>
      </c>
      <c r="D50" s="13" t="inlineStr">
        <is>
          <t>承認完了時のメール通知</t>
        </is>
      </c>
      <c r="E50" s="13" t="inlineStr">
        <is>
          <t>全承認者により稟議が承認済み</t>
        </is>
      </c>
      <c r="F50" s="13" t="inlineStr">
        <is>
          <t>1. Final approver approves ringi
2. Check requester's email inbox
3. 確認する completion email received</t>
        </is>
      </c>
      <c r="G50" s="13" t="inlineStr">
        <is>
          <t>申請者が完了メールを受信 with summary of approval chain.</t>
        </is>
      </c>
      <c r="H50" s="9" t="inlineStr">
        <is>
          <t>P2</t>
        </is>
      </c>
      <c r="I50" s="10" t="inlineStr">
        <is>
          <t>未実装</t>
        </is>
      </c>
      <c r="J50" s="13" t="inlineStr">
        <is>
          <t>メール配信システムなし。</t>
        </is>
      </c>
      <c r="K50" s="13" t="inlineStr">
        <is>
          <t>https://eb-filemg-development.vercel.app</t>
        </is>
      </c>
      <c r="L50" s="7" t="inlineStr">
        <is>
          <t>N/A</t>
        </is>
      </c>
      <c r="M50" s="8" t="n"/>
      <c r="N50" s="8" t="n"/>
      <c r="O50" s="13" t="inlineStr">
        <is>
          <t>Spec 6.6 (通知)
→ "承認依頼、リマインダー、差戻し、完了通知をメール/Slack DMで送信."</t>
        </is>
      </c>
      <c r="P50" s="3" t="n"/>
      <c r="Q50" s="3" t="n"/>
      <c r="R50" s="3" t="n"/>
      <c r="S50" s="3" t="n"/>
      <c r="T50" s="3" t="n"/>
      <c r="U50" s="3" t="n"/>
      <c r="V50" s="3" t="n"/>
      <c r="W50" s="3" t="n"/>
      <c r="X50" s="3" t="n"/>
      <c r="Y50" s="3" t="n"/>
      <c r="Z50" s="3" t="n"/>
    </row>
    <row r="51">
      <c r="A51" s="13" t="inlineStr">
        <is>
          <t>TC-NTF-003</t>
        </is>
      </c>
      <c r="B51" s="13" t="inlineStr">
        <is>
          <t>通知</t>
        </is>
      </c>
      <c r="C51" s="13" t="inlineStr">
        <is>
          <t>メール</t>
        </is>
      </c>
      <c r="D51" s="13" t="inlineStr">
        <is>
          <t>差戻し時のメール通知</t>
        </is>
      </c>
      <c r="E51" s="13" t="inlineStr">
        <is>
          <t>承認者により稟議が差戻し済み</t>
        </is>
      </c>
      <c r="F51" s="13" t="inlineStr">
        <is>
          <t>1. Approver sends back ringi with comments
2. Check requester's email inbox
3. 確認する email contains send-back reason and link to edit</t>
        </is>
      </c>
      <c r="G51" s="13" t="inlineStr">
        <is>
          <t>申請者が差戻し理由とリンク付きメールを受信 to edit the ringi.</t>
        </is>
      </c>
      <c r="H51" s="9" t="inlineStr">
        <is>
          <t>P2</t>
        </is>
      </c>
      <c r="I51" s="10" t="inlineStr">
        <is>
          <t>未実装</t>
        </is>
      </c>
      <c r="J51" s="13" t="inlineStr">
        <is>
          <t>メール配信システムなし。</t>
        </is>
      </c>
      <c r="K51" s="13" t="inlineStr">
        <is>
          <t>https://eb-filemg-development.vercel.app</t>
        </is>
      </c>
      <c r="L51" s="7" t="inlineStr">
        <is>
          <t>N/A</t>
        </is>
      </c>
      <c r="M51" s="8" t="n"/>
      <c r="N51" s="8" t="n"/>
      <c r="O51" s="13" t="inlineStr">
        <is>
          <t>Spec 6.6 (通知)
→ "承認依頼、リマインダー、差戻し、完了通知をメール/Slack DMで送信."</t>
        </is>
      </c>
      <c r="P51" s="3" t="n"/>
      <c r="Q51" s="3" t="n"/>
      <c r="R51" s="3" t="n"/>
      <c r="S51" s="3" t="n"/>
      <c r="T51" s="3" t="n"/>
      <c r="U51" s="3" t="n"/>
      <c r="V51" s="3" t="n"/>
      <c r="W51" s="3" t="n"/>
      <c r="X51" s="3" t="n"/>
      <c r="Y51" s="3" t="n"/>
      <c r="Z51" s="3" t="n"/>
    </row>
    <row r="52">
      <c r="A52" s="13" t="inlineStr">
        <is>
          <t>TC-NTF-004</t>
        </is>
      </c>
      <c r="B52" s="13" t="inlineStr">
        <is>
          <t>通知</t>
        </is>
      </c>
      <c r="C52" s="13" t="inlineStr">
        <is>
          <t>Slack連携</t>
        </is>
      </c>
      <c r="D52" s="13" t="inlineStr">
        <is>
          <t>承認依頼のSlack DM</t>
        </is>
      </c>
      <c r="E52" s="13" t="inlineStr">
        <is>
          <t>稟議が申請済み、Slack連携が設定済み</t>
        </is>
      </c>
      <c r="F52" s="13" t="inlineStr">
        <is>
          <t>1. Submit ringi
2. Check approver's Slack DM
3. 確認する message contains ringi details
4. 確認する interactive action buttons present</t>
        </is>
      </c>
      <c r="G52" s="13" t="inlineStr">
        <is>
          <t>承認者が稟議詳細とアクションボタン付きSlack DMを受信 (Approve/Send Back).</t>
        </is>
      </c>
      <c r="H52" s="9" t="inlineStr">
        <is>
          <t>P2</t>
        </is>
      </c>
      <c r="I52" s="10" t="inlineStr">
        <is>
          <t>未実装</t>
        </is>
      </c>
      <c r="J52" s="13" t="inlineStr">
        <is>
          <t>Slack連携なし。</t>
        </is>
      </c>
      <c r="K52" s="13" t="inlineStr">
        <is>
          <t>https://eb-filemg-development.vercel.app</t>
        </is>
      </c>
      <c r="L52" s="7" t="inlineStr">
        <is>
          <t>N/A</t>
        </is>
      </c>
      <c r="M52" s="8" t="n"/>
      <c r="N52" s="8" t="n"/>
      <c r="O52" s="13" t="inlineStr">
        <is>
          <t>Spec 6.6 (通知)
→ "承認依頼、リマインダー、差戻し、完了通知をメール/Slack DMで送信."</t>
        </is>
      </c>
      <c r="P52" s="3" t="n"/>
      <c r="Q52" s="3" t="n"/>
      <c r="R52" s="3" t="n"/>
      <c r="S52" s="3" t="n"/>
      <c r="T52" s="3" t="n"/>
      <c r="U52" s="3" t="n"/>
      <c r="V52" s="3" t="n"/>
      <c r="W52" s="3" t="n"/>
      <c r="X52" s="3" t="n"/>
      <c r="Y52" s="3" t="n"/>
      <c r="Z52" s="3" t="n"/>
    </row>
    <row r="53">
      <c r="A53" s="13" t="inlineStr">
        <is>
          <t>TC-NTF-005</t>
        </is>
      </c>
      <c r="B53" s="13" t="inlineStr">
        <is>
          <t>通知</t>
        </is>
      </c>
      <c r="C53" s="13" t="inlineStr">
        <is>
          <t>Slackインタラクティブ承認</t>
        </is>
      </c>
      <c r="D53" s="13" t="inlineStr">
        <is>
          <t>Slackインタラクティブメッセージから承認</t>
        </is>
      </c>
      <c r="E53" s="13" t="inlineStr">
        <is>
          <t>承認者がアクションボタン付きSlack通知を受信</t>
        </is>
      </c>
      <c r="F53" s="13" t="inlineStr">
        <is>
          <t>1. Receive Slack DM with approval request
2. 「承認」をクリック button in Slack message
3. Check ringi status in app
4. 確認する audit log records Slack-initiated approval</t>
        </is>
      </c>
      <c r="G53" s="13" t="inlineStr">
        <is>
          <t>Slackから承認が処理される. アプリでステータスが更新される. 監査ログにソースがSlackと記録される.</t>
        </is>
      </c>
      <c r="H53" s="9" t="inlineStr">
        <is>
          <t>P2</t>
        </is>
      </c>
      <c r="I53" s="10" t="inlineStr">
        <is>
          <t>未実装</t>
        </is>
      </c>
      <c r="J53" s="13" t="inlineStr">
        <is>
          <t>Slackインタラクティブメッセージ処理なし。</t>
        </is>
      </c>
      <c r="K53" s="13" t="inlineStr">
        <is>
          <t>https://eb-filemg-development.vercel.app</t>
        </is>
      </c>
      <c r="L53" s="7" t="inlineStr">
        <is>
          <t>N/A</t>
        </is>
      </c>
      <c r="M53" s="8" t="n"/>
      <c r="N53" s="8" t="n"/>
      <c r="O53" s="13" t="inlineStr">
        <is>
          <t>Spec 6.6 (通知)
→ "承認依頼、リマインダー、差戻し、完了通知をメール/Slack DMで送信."</t>
        </is>
      </c>
      <c r="P53" s="3" t="n"/>
      <c r="Q53" s="3" t="n"/>
      <c r="R53" s="3" t="n"/>
      <c r="S53" s="3" t="n"/>
      <c r="T53" s="3" t="n"/>
      <c r="U53" s="3" t="n"/>
      <c r="V53" s="3" t="n"/>
      <c r="W53" s="3" t="n"/>
      <c r="X53" s="3" t="n"/>
      <c r="Y53" s="3" t="n"/>
      <c r="Z53" s="3" t="n"/>
    </row>
    <row r="54">
      <c r="A54" s="13" t="inlineStr">
        <is>
          <t>TC-NTF-006</t>
        </is>
      </c>
      <c r="B54" s="13" t="inlineStr">
        <is>
          <t>通知</t>
        </is>
      </c>
      <c r="C54" s="13" t="inlineStr">
        <is>
          <t>チャットカード</t>
        </is>
      </c>
      <c r="D54" s="13" t="inlineStr">
        <is>
          <t>チャットカードから承認/差戻し</t>
        </is>
      </c>
      <c r="E54" s="13" t="inlineStr">
        <is>
          <t>チャット画面に稟議通知が表示</t>
        </is>
      </c>
      <c r="F54" s="13" t="inlineStr">
        <is>
          <t>1. に移動する chat (/c)
2. Find approval request card in conversation
3. 「承認」をクリック or 'Send Back' action button on the card
4. 確認する action processed without navigating to detail page</t>
        </is>
      </c>
      <c r="G54" s="13" t="inlineStr">
        <is>
          <t>チャットUIカードから直接操作が行われる. Status updated. チャットからの画面遷移が不要.</t>
        </is>
      </c>
      <c r="H54" s="9" t="inlineStr">
        <is>
          <t>P2</t>
        </is>
      </c>
      <c r="I54" s="10" t="inlineStr">
        <is>
          <t>未実装</t>
        </is>
      </c>
      <c r="J54" s="13" t="inlineStr">
        <is>
          <t>インラインアクションボタン付きチャットカード未実装。</t>
        </is>
      </c>
      <c r="K54" s="13" t="inlineStr">
        <is>
          <t>https://eb-filemg-development.vercel.app</t>
        </is>
      </c>
      <c r="L54" s="7" t="inlineStr">
        <is>
          <t>N/A</t>
        </is>
      </c>
      <c r="M54" s="8" t="n"/>
      <c r="N54" s="8" t="n"/>
      <c r="O54" s="13" t="inlineStr">
        <is>
          <t>Spec 6.6 (通知)
→ "チャットカードから承認/差戻し."</t>
        </is>
      </c>
      <c r="P54" s="3" t="n"/>
      <c r="Q54" s="3" t="n"/>
      <c r="R54" s="3" t="n"/>
      <c r="S54" s="3" t="n"/>
      <c r="T54" s="3" t="n"/>
      <c r="U54" s="3" t="n"/>
      <c r="V54" s="3" t="n"/>
      <c r="W54" s="3" t="n"/>
      <c r="X54" s="3" t="n"/>
      <c r="Y54" s="3" t="n"/>
      <c r="Z54" s="3" t="n"/>
    </row>
    <row r="55">
      <c r="A55" s="13" t="inlineStr">
        <is>
          <t>TC-NTF-007</t>
        </is>
      </c>
      <c r="B55" s="13" t="inlineStr">
        <is>
          <t>通知</t>
        </is>
      </c>
      <c r="C55" s="13" t="inlineStr">
        <is>
          <t>通知センター</t>
        </is>
      </c>
      <c r="D55" s="13" t="inlineStr">
        <is>
          <t>正確な未処理件数の通知センター</t>
        </is>
      </c>
      <c r="E55" s="13" t="inlineStr">
        <is>
          <t>ユーザーに保留中の承認項目が割り当て済み</t>
        </is>
      </c>
      <c r="F55" s="13" t="inlineStr">
        <is>
          <t>1. としてログイン approver with pending items
2. ナビバーの通知ベルアイコンを確認
3. ベルに正確な件数が表示されることを確認 (not hardcoded)
4. ベルをクリックして通知センターを開く
5. 保留中の通知一覧を表示</t>
        </is>
      </c>
      <c r="G55" s="13" t="inlineStr">
        <is>
          <t>ベルに実際の件数が表示される of pending items. 通知センターに最近のリクエストが一覧表示される, reminders, completions.</t>
        </is>
      </c>
      <c r="H55" s="9" t="inlineStr">
        <is>
          <t>P2</t>
        </is>
      </c>
      <c r="I55" s="12" t="inlineStr">
        <is>
          <t>一部実装</t>
        </is>
      </c>
      <c r="J55" s="13" t="inlineStr">
        <is>
          <t>Navbarに通知ベルが存在するがハードコードされた件数を表示。リアル通知センターや動的カウントなし。</t>
        </is>
      </c>
      <c r="K55" s="13" t="inlineStr">
        <is>
          <t>https://eb-filemg-development.vercel.app</t>
        </is>
      </c>
      <c r="L55" s="7" t="inlineStr">
        <is>
          <t>N/A</t>
        </is>
      </c>
      <c r="M55" s="8" t="n"/>
      <c r="N55" s="8" t="n"/>
      <c r="O55" s="13" t="inlineStr">
        <is>
          <t>Spec 6.6 (通知)
→ "通知センターに未処理件数を表示."</t>
        </is>
      </c>
      <c r="P55" s="3" t="n"/>
      <c r="Q55" s="3" t="n"/>
      <c r="R55" s="3" t="n"/>
      <c r="S55" s="3" t="n"/>
      <c r="T55" s="3" t="n"/>
      <c r="U55" s="3" t="n"/>
      <c r="V55" s="3" t="n"/>
      <c r="W55" s="3" t="n"/>
      <c r="X55" s="3" t="n"/>
      <c r="Y55" s="3" t="n"/>
      <c r="Z55" s="3" t="n"/>
    </row>
    <row r="56">
      <c r="A56" s="13" t="inlineStr">
        <is>
          <t>TC-NTF-008</t>
        </is>
      </c>
      <c r="B56" s="13" t="inlineStr">
        <is>
          <t>通知</t>
        </is>
      </c>
      <c r="C56" s="13" t="inlineStr">
        <is>
          <t>通知設定</t>
        </is>
      </c>
      <c r="D56" s="13" t="inlineStr">
        <is>
          <t>通知設定のカスタマイズ</t>
        </is>
      </c>
      <c r="E56" s="13" t="inlineStr">
        <is>
          <t>ログイン済み</t>
        </is>
      </c>
      <c r="F56" s="13" t="inlineStr">
        <is>
          <t>1. 通知設定/プリファレンスに移動する
2. メール通知のON/OFFを切り替え
3. Slack通知のON/OFFを切り替え
4. Set notification frequency
5. 設定を保存</t>
        </is>
      </c>
      <c r="G56" s="13" t="inlineStr">
        <is>
          <t>ユーザーが通知チャネルと頻度をカスタマイズ可能. 設定がセッション間で保持される.</t>
        </is>
      </c>
      <c r="H56" s="11" t="inlineStr">
        <is>
          <t>P3</t>
        </is>
      </c>
      <c r="I56" s="10" t="inlineStr">
        <is>
          <t>未実装</t>
        </is>
      </c>
      <c r="J56" s="13" t="inlineStr">
        <is>
          <t>通知設定のUIやストレージなし。</t>
        </is>
      </c>
      <c r="K56" s="13" t="inlineStr">
        <is>
          <t>https://eb-filemg-development.vercel.app</t>
        </is>
      </c>
      <c r="L56" s="7" t="inlineStr">
        <is>
          <t>N/A</t>
        </is>
      </c>
      <c r="M56" s="8" t="n"/>
      <c r="N56" s="8" t="n"/>
      <c r="O56" s="13" t="inlineStr">
        <is>
          <t>Spec 6.6 (通知)
→ "承認依頼、リマインダー、差戻し、完了通知をメール/Slack DMで送信."</t>
        </is>
      </c>
      <c r="P56" s="3" t="n"/>
      <c r="Q56" s="3" t="n"/>
      <c r="R56" s="3" t="n"/>
      <c r="S56" s="3" t="n"/>
      <c r="T56" s="3" t="n"/>
      <c r="U56" s="3" t="n"/>
      <c r="V56" s="3" t="n"/>
      <c r="W56" s="3" t="n"/>
      <c r="X56" s="3" t="n"/>
      <c r="Y56" s="3" t="n"/>
      <c r="Z56" s="3" t="n"/>
    </row>
    <row r="57">
      <c r="A57" s="13" t="inlineStr">
        <is>
          <t>TC-SRC-001</t>
        </is>
      </c>
      <c r="B57" s="13" t="inlineStr">
        <is>
          <t>検索・参照</t>
        </is>
      </c>
      <c r="C57" s="13" t="inlineStr">
        <is>
          <t>検索</t>
        </is>
      </c>
      <c r="D57" s="13" t="inlineStr">
        <is>
          <t>タイトル/件名で稟議を検索</t>
        </is>
      </c>
      <c r="E57" s="13" t="inlineStr">
        <is>
          <t>システムに複数の稟議が存在</t>
        </is>
      </c>
      <c r="F57" s="13" t="inlineStr">
        <is>
          <t>1. ダッシュボードに移動する
2. 検索ボックスに部分タイトルを入力 (e.g., 'Office')
3. 一致する稟議が表示されることを確認</t>
        </is>
      </c>
      <c r="G57" s="13" t="inlineStr">
        <is>
          <t>タイトルが一致する稟議にフィルタされた結果. ユーザーの入力に応じてリアルタイム検索が動作.</t>
        </is>
      </c>
      <c r="H57" s="5" t="inlineStr">
        <is>
          <t>P1</t>
        </is>
      </c>
      <c r="I57" s="6" t="inlineStr">
        <is>
          <t>実装済み</t>
        </is>
      </c>
      <c r="J57" s="13" t="inlineStr">
        <is>
          <t>タイトル検索がダッシュボードで動作。</t>
        </is>
      </c>
      <c r="K57" s="13" t="inlineStr">
        <is>
          <t>https://eb-filemg-development.vercel.app</t>
        </is>
      </c>
      <c r="L57" s="7" t="inlineStr">
        <is>
          <t>N/A</t>
        </is>
      </c>
      <c r="M57" s="8" t="n"/>
      <c r="N57" s="8" t="n"/>
      <c r="O57" s="13" t="inlineStr">
        <is>
          <t>Spec 6.5 (検索・参照)
→ "稟議ID、件名、申請者、部門、金額範囲、ステータス、期間で検索/フィルタ."</t>
        </is>
      </c>
      <c r="P57" s="3" t="n"/>
      <c r="Q57" s="3" t="n"/>
      <c r="R57" s="3" t="n"/>
      <c r="S57" s="3" t="n"/>
      <c r="T57" s="3" t="n"/>
      <c r="U57" s="3" t="n"/>
      <c r="V57" s="3" t="n"/>
      <c r="W57" s="3" t="n"/>
      <c r="X57" s="3" t="n"/>
      <c r="Y57" s="3" t="n"/>
      <c r="Z57" s="3" t="n"/>
    </row>
    <row r="58">
      <c r="A58" s="13" t="inlineStr">
        <is>
          <t>TC-SRC-002</t>
        </is>
      </c>
      <c r="B58" s="13" t="inlineStr">
        <is>
          <t>検索・参照</t>
        </is>
      </c>
      <c r="C58" s="13" t="inlineStr">
        <is>
          <t>検索</t>
        </is>
      </c>
      <c r="D58" s="13" t="inlineStr">
        <is>
          <t>取引先名で稟議を検索</t>
        </is>
      </c>
      <c r="E58" s="13" t="inlineStr">
        <is>
          <t>異なる取引先の複数稟議が存在</t>
        </is>
      </c>
      <c r="F58" s="13" t="inlineStr">
        <is>
          <t>1. ダッシュボードに移動する
2. Search by vendor name (e.g., 'Dell')
3. 一致する稟議が表示されることを確認</t>
        </is>
      </c>
      <c r="G58" s="13" t="inlineStr">
        <is>
          <t>取引先名が一致する稟議の結果が表示される.</t>
        </is>
      </c>
      <c r="H58" s="5" t="inlineStr">
        <is>
          <t>P1</t>
        </is>
      </c>
      <c r="I58" s="6" t="inlineStr">
        <is>
          <t>実装済み</t>
        </is>
      </c>
      <c r="J58" s="13" t="inlineStr">
        <is>
          <t>vendor_nameフィールドでの検索をカバー。</t>
        </is>
      </c>
      <c r="K58" s="13" t="inlineStr">
        <is>
          <t>https://eb-filemg-development.vercel.app</t>
        </is>
      </c>
      <c r="L58" s="7" t="inlineStr">
        <is>
          <t>N/A</t>
        </is>
      </c>
      <c r="M58" s="8" t="n"/>
      <c r="N58" s="8" t="n"/>
      <c r="O58" s="13" t="inlineStr">
        <is>
          <t>Spec 6.5 (検索・参照)
→ "稟議ID、件名、申請者、部門、金額範囲、ステータス、期間で検索/フィルタ."</t>
        </is>
      </c>
      <c r="P58" s="3" t="n"/>
      <c r="Q58" s="3" t="n"/>
      <c r="R58" s="3" t="n"/>
      <c r="S58" s="3" t="n"/>
      <c r="T58" s="3" t="n"/>
      <c r="U58" s="3" t="n"/>
      <c r="V58" s="3" t="n"/>
      <c r="W58" s="3" t="n"/>
      <c r="X58" s="3" t="n"/>
      <c r="Y58" s="3" t="n"/>
      <c r="Z58" s="3" t="n"/>
    </row>
    <row r="59">
      <c r="A59" s="13" t="inlineStr">
        <is>
          <t>TC-SRC-003</t>
        </is>
      </c>
      <c r="B59" s="13" t="inlineStr">
        <is>
          <t>検索・参照</t>
        </is>
      </c>
      <c r="C59" s="13" t="inlineStr">
        <is>
          <t>検索</t>
        </is>
      </c>
      <c r="D59" s="13" t="inlineStr">
        <is>
          <t>IDで稟議を検索</t>
        </is>
      </c>
      <c r="E59" s="13" t="inlineStr">
        <is>
          <t>既知の稟議IDがシステムに存在</t>
        </is>
      </c>
      <c r="F59" s="13" t="inlineStr">
        <is>
          <t>1. ダッシュボードに移動する
2. 検索ボックスに稟議IDを入力
3. 一致する稟議が見つかることを確認</t>
        </is>
      </c>
      <c r="G59" s="13" t="inlineStr">
        <is>
          <t>一致する稟議が検索結果に表示される。</t>
        </is>
      </c>
      <c r="H59" s="9" t="inlineStr">
        <is>
          <t>P2</t>
        </is>
      </c>
      <c r="I59" s="6" t="inlineStr">
        <is>
          <t>実装済み</t>
        </is>
      </c>
      <c r="J59" s="13" t="inlineStr">
        <is>
          <t>IDマッチングを含む検索。</t>
        </is>
      </c>
      <c r="K59" s="13" t="inlineStr">
        <is>
          <t>https://eb-filemg-development.vercel.app</t>
        </is>
      </c>
      <c r="L59" s="7" t="inlineStr">
        <is>
          <t>N/A</t>
        </is>
      </c>
      <c r="M59" s="8" t="n"/>
      <c r="N59" s="8" t="n"/>
      <c r="O59" s="13" t="inlineStr">
        <is>
          <t>Spec 6.5 (検索・参照)
→ "稟議ID、件名、申請者、部門、金額範囲、ステータス、期間で検索/フィルタ."</t>
        </is>
      </c>
      <c r="P59" s="3" t="n"/>
      <c r="Q59" s="3" t="n"/>
      <c r="R59" s="3" t="n"/>
      <c r="S59" s="3" t="n"/>
      <c r="T59" s="3" t="n"/>
      <c r="U59" s="3" t="n"/>
      <c r="V59" s="3" t="n"/>
      <c r="W59" s="3" t="n"/>
      <c r="X59" s="3" t="n"/>
      <c r="Y59" s="3" t="n"/>
      <c r="Z59" s="3" t="n"/>
    </row>
    <row r="60">
      <c r="A60" s="13" t="inlineStr">
        <is>
          <t>TC-SRC-004</t>
        </is>
      </c>
      <c r="B60" s="13" t="inlineStr">
        <is>
          <t>検索・参照</t>
        </is>
      </c>
      <c r="C60" s="13" t="inlineStr">
        <is>
          <t>フィルター</t>
        </is>
      </c>
      <c r="D60" s="13" t="inlineStr">
        <is>
          <t>ステータスタブで稟議をフィルタ</t>
        </is>
      </c>
      <c r="E60" s="13" t="inlineStr">
        <is>
          <t>複数ステータスの稟議が存在</t>
        </is>
      </c>
      <c r="F60" s="13" t="inlineStr">
        <is>
          <t>1. ダッシュボードに移動する
2. Click 'Pending' tab
3. 保留中の稟議のみ表示されることを確認
4. Click 'Approved' tab
5. Click 'Rejected' tab
6. バッジ数が実際の件数と一致することを確認</t>
        </is>
      </c>
      <c r="G60" s="13" t="inlineStr">
        <is>
          <t>各タブにそのステータスの稟議のみ表示される. タブバッジに正確な件数が表示される.</t>
        </is>
      </c>
      <c r="H60" s="5" t="inlineStr">
        <is>
          <t>P1</t>
        </is>
      </c>
      <c r="I60" s="6" t="inlineStr">
        <is>
          <t>実装済み</t>
        </is>
      </c>
      <c r="J60" s="13" t="inlineStr">
        <is>
          <t>件数付きステータスタブが動作。</t>
        </is>
      </c>
      <c r="K60" s="13" t="inlineStr">
        <is>
          <t>https://eb-filemg-development.vercel.app</t>
        </is>
      </c>
      <c r="L60" s="7" t="inlineStr">
        <is>
          <t>N/A</t>
        </is>
      </c>
      <c r="M60" s="8" t="n"/>
      <c r="N60" s="8" t="n"/>
      <c r="O60" s="13" t="inlineStr">
        <is>
          <t>Spec 6.5 (検索・参照)
→ "稟議ID、件名、申請者、部門、金額範囲、ステータス、期間で検索/フィルタ."</t>
        </is>
      </c>
      <c r="P60" s="3" t="n"/>
      <c r="Q60" s="3" t="n"/>
      <c r="R60" s="3" t="n"/>
      <c r="S60" s="3" t="n"/>
      <c r="T60" s="3" t="n"/>
      <c r="U60" s="3" t="n"/>
      <c r="V60" s="3" t="n"/>
      <c r="W60" s="3" t="n"/>
      <c r="X60" s="3" t="n"/>
      <c r="Y60" s="3" t="n"/>
      <c r="Z60" s="3" t="n"/>
    </row>
    <row r="61">
      <c r="A61" s="13" t="inlineStr">
        <is>
          <t>TC-SRC-005</t>
        </is>
      </c>
      <c r="B61" s="13" t="inlineStr">
        <is>
          <t>検索・参照</t>
        </is>
      </c>
      <c r="C61" s="13" t="inlineStr">
        <is>
          <t>フィルター</t>
        </is>
      </c>
      <c r="D61" s="13" t="inlineStr">
        <is>
          <t>カテゴリでフィルタ</t>
        </is>
      </c>
      <c r="E61" s="13" t="inlineStr">
        <is>
          <t>複数カテゴリが存在</t>
        </is>
      </c>
      <c r="F61" s="13" t="inlineStr">
        <is>
          <t>1. 「フィルター」ボタンをクリック
2. カテゴリを選択: 'Purchasing'
3. フィルターを適用
4. 購買カテゴリの稟議のみ表示されることを確認
5. Check filter badge shows '1' active filter</t>
        </is>
      </c>
      <c r="G61" s="13" t="inlineStr">
        <is>
          <t>Only Purchasing category ringi shown. フィルターバッジに1件のアクティブフィルターが表示される.</t>
        </is>
      </c>
      <c r="H61" s="9" t="inlineStr">
        <is>
          <t>P2</t>
        </is>
      </c>
      <c r="I61" s="6" t="inlineStr">
        <is>
          <t>実装済み</t>
        </is>
      </c>
      <c r="J61" s="13" t="inlineStr">
        <is>
          <t>ApprovalRequestFilterコンポーネントのカテゴリフィルター。</t>
        </is>
      </c>
      <c r="K61" s="13" t="inlineStr">
        <is>
          <t>https://eb-filemg-development.vercel.app</t>
        </is>
      </c>
      <c r="L61" s="7" t="inlineStr">
        <is>
          <t>N/A</t>
        </is>
      </c>
      <c r="M61" s="8" t="n"/>
      <c r="N61" s="8" t="n"/>
      <c r="O61" s="13" t="inlineStr">
        <is>
          <t>Spec 6.5 (検索・参照)
→ "稟議ID、件名、申請者、部門、金額範囲、ステータス、期間で検索/フィルタ."</t>
        </is>
      </c>
      <c r="P61" s="3" t="n"/>
      <c r="Q61" s="3" t="n"/>
      <c r="R61" s="3" t="n"/>
      <c r="S61" s="3" t="n"/>
      <c r="T61" s="3" t="n"/>
      <c r="U61" s="3" t="n"/>
      <c r="V61" s="3" t="n"/>
      <c r="W61" s="3" t="n"/>
      <c r="X61" s="3" t="n"/>
      <c r="Y61" s="3" t="n"/>
      <c r="Z61" s="3" t="n"/>
    </row>
    <row r="62">
      <c r="A62" s="13" t="inlineStr">
        <is>
          <t>TC-SRC-006</t>
        </is>
      </c>
      <c r="B62" s="13" t="inlineStr">
        <is>
          <t>検索・参照</t>
        </is>
      </c>
      <c r="C62" s="13" t="inlineStr">
        <is>
          <t>フィルター</t>
        </is>
      </c>
      <c r="D62" s="13" t="inlineStr">
        <is>
          <t>日付範囲でフィルタ</t>
        </is>
      </c>
      <c r="E62" s="13" t="inlineStr">
        <is>
          <t>様々な日付で稟議が作成済み</t>
        </is>
      </c>
      <c r="F62" s="13" t="inlineStr">
        <is>
          <t>1. 「フィルター」ボタンをクリック
2. 開始日を設定: 2026-01-01
3. 終了日を設定: 2026-01-31
4. フィルターを適用
5. 範囲内の稟議のみ表示されることを確認</t>
        </is>
      </c>
      <c r="G62" s="13" t="inlineStr">
        <is>
          <t>範囲内の稟議のみ Jan 2026 日付範囲が表示される.</t>
        </is>
      </c>
      <c r="H62" s="9" t="inlineStr">
        <is>
          <t>P2</t>
        </is>
      </c>
      <c r="I62" s="6" t="inlineStr">
        <is>
          <t>実装済み</t>
        </is>
      </c>
      <c r="J62" s="13" t="inlineStr">
        <is>
          <t>フィルターパネルに日付範囲フィルターが存在。</t>
        </is>
      </c>
      <c r="K62" s="13" t="inlineStr">
        <is>
          <t>https://eb-filemg-development.vercel.app</t>
        </is>
      </c>
      <c r="L62" s="7" t="inlineStr">
        <is>
          <t>N/A</t>
        </is>
      </c>
      <c r="M62" s="8" t="n"/>
      <c r="N62" s="8" t="n"/>
      <c r="O62" s="13" t="inlineStr">
        <is>
          <t>Spec 6.5 (検索・参照)
→ "稟議ID、件名、申請者、部門、金額範囲、ステータス、期間で検索/フィルタ."</t>
        </is>
      </c>
      <c r="P62" s="3" t="n"/>
      <c r="Q62" s="3" t="n"/>
      <c r="R62" s="3" t="n"/>
      <c r="S62" s="3" t="n"/>
      <c r="T62" s="3" t="n"/>
      <c r="U62" s="3" t="n"/>
      <c r="V62" s="3" t="n"/>
      <c r="W62" s="3" t="n"/>
      <c r="X62" s="3" t="n"/>
      <c r="Y62" s="3" t="n"/>
      <c r="Z62" s="3" t="n"/>
    </row>
    <row r="63">
      <c r="A63" s="13" t="inlineStr">
        <is>
          <t>TC-SRC-007</t>
        </is>
      </c>
      <c r="B63" s="13" t="inlineStr">
        <is>
          <t>検索・参照</t>
        </is>
      </c>
      <c r="C63" s="13" t="inlineStr">
        <is>
          <t>フィルター</t>
        </is>
      </c>
      <c r="D63" s="13" t="inlineStr">
        <is>
          <t>金額範囲でフィルタ</t>
        </is>
      </c>
      <c r="E63" s="13" t="inlineStr">
        <is>
          <t>様々な金額の稟議が存在</t>
        </is>
      </c>
      <c r="F63" s="13" t="inlineStr">
        <is>
          <t>1. ダッシュボードに移動する
2. Filter by amount range (e.g., 100,000 - 500,000)
3. 金額範囲内の稟議のみ表示されることを確認</t>
        </is>
      </c>
      <c r="G63" s="13" t="inlineStr">
        <is>
          <t>範囲内の稟議のみ amount range shown. Filter badge updated.</t>
        </is>
      </c>
      <c r="H63" s="11" t="inlineStr">
        <is>
          <t>P3</t>
        </is>
      </c>
      <c r="I63" s="10" t="inlineStr">
        <is>
          <t>未実装</t>
        </is>
      </c>
      <c r="J63" s="13" t="inlineStr">
        <is>
          <t>現在のUIに金額範囲フィルターなし。仕様書セクション6.5で必要。</t>
        </is>
      </c>
      <c r="K63" s="13" t="inlineStr">
        <is>
          <t>https://eb-filemg-development.vercel.app</t>
        </is>
      </c>
      <c r="L63" s="7" t="inlineStr">
        <is>
          <t>N/A</t>
        </is>
      </c>
      <c r="M63" s="8" t="n"/>
      <c r="N63" s="8" t="n"/>
      <c r="O63" s="13" t="inlineStr">
        <is>
          <t>Spec 6.5 (検索・参照)
→ "稟議ID、件名、申請者、部門、金額範囲、ステータス、期間で検索/フィルタ."</t>
        </is>
      </c>
      <c r="P63" s="3" t="n"/>
      <c r="Q63" s="3" t="n"/>
      <c r="R63" s="3" t="n"/>
      <c r="S63" s="3" t="n"/>
      <c r="T63" s="3" t="n"/>
      <c r="U63" s="3" t="n"/>
      <c r="V63" s="3" t="n"/>
      <c r="W63" s="3" t="n"/>
      <c r="X63" s="3" t="n"/>
      <c r="Y63" s="3" t="n"/>
      <c r="Z63" s="3" t="n"/>
    </row>
    <row r="64">
      <c r="A64" s="13" t="inlineStr">
        <is>
          <t>TC-SRC-008</t>
        </is>
      </c>
      <c r="B64" s="13" t="inlineStr">
        <is>
          <t>検索・参照</t>
        </is>
      </c>
      <c r="C64" s="13" t="inlineStr">
        <is>
          <t>タイムライン</t>
        </is>
      </c>
      <c r="D64" s="13" t="inlineStr">
        <is>
          <t>承認履歴をタイムラインで表示</t>
        </is>
      </c>
      <c r="E64" s="13" t="inlineStr">
        <is>
          <t>段階履歴付きの承認済み稟議が存在</t>
        </is>
      </c>
      <c r="F64" s="13" t="inlineStr">
        <is>
          <t>1. に移動する approved ringi detail page
2. タイムラインタブに切り替え
3. 時系列の承認履歴を表示</t>
        </is>
      </c>
      <c r="G64" s="13" t="inlineStr">
        <is>
          <t>タイムラインに時系列の操作が表示される: 申請、各承認段階、コメント、タイムスタンプ.</t>
        </is>
      </c>
      <c r="H64" s="9" t="inlineStr">
        <is>
          <t>P2</t>
        </is>
      </c>
      <c r="I64" s="12" t="inlineStr">
        <is>
          <t>一部実装</t>
        </is>
      </c>
      <c r="J64" s="13" t="inlineStr">
        <is>
          <t>ApprovalRouteTimelineが存在するが、静的な3段階の視覚化を表示。実際の段階履歴に接続されていない。</t>
        </is>
      </c>
      <c r="K64" s="13" t="inlineStr">
        <is>
          <t>https://eb-filemg-development.vercel.app</t>
        </is>
      </c>
      <c r="L64" s="7" t="inlineStr">
        <is>
          <t>N/A</t>
        </is>
      </c>
      <c r="M64" s="8" t="n"/>
      <c r="N64" s="8" t="n"/>
      <c r="O64" s="13" t="inlineStr">
        <is>
          <t>Spec 6.5 (検索・参照)
→ "承認履歴タイムラインを表示. メタデータ付きでDriveに添付ファイルをリンク."</t>
        </is>
      </c>
      <c r="P64" s="3" t="n"/>
      <c r="Q64" s="3" t="n"/>
      <c r="R64" s="3" t="n"/>
      <c r="S64" s="3" t="n"/>
      <c r="T64" s="3" t="n"/>
      <c r="U64" s="3" t="n"/>
      <c r="V64" s="3" t="n"/>
      <c r="W64" s="3" t="n"/>
      <c r="X64" s="3" t="n"/>
      <c r="Y64" s="3" t="n"/>
      <c r="Z64" s="3" t="n"/>
    </row>
    <row r="65">
      <c r="A65" s="13" t="inlineStr">
        <is>
          <t>TC-RPT-001</t>
        </is>
      </c>
      <c r="B65" s="13" t="inlineStr">
        <is>
          <t>レポート</t>
        </is>
      </c>
      <c r="C65" s="13" t="inlineStr">
        <is>
          <t>ダッシュボード</t>
        </is>
      </c>
      <c r="D65" s="13" t="inlineStr">
        <is>
          <t>承認リードタイム指標を表示</t>
        </is>
      </c>
      <c r="E65" s="13" t="inlineStr">
        <is>
          <t>システムに複数の承認済み稟議が存在</t>
        </is>
      </c>
      <c r="F65" s="13" t="inlineStr">
        <is>
          <t>1. レポートダッシュボードに移動する
2. View 'Approval Lead Time' metric
3. Check average, median, min, max lead times
4. 確認する trends over time</t>
        </is>
      </c>
      <c r="G65" s="13" t="inlineStr">
        <is>
          <t>ダッシュボードにリードタイム統計が表示される (submitted_at to approved_at). トレンドがチャートで表示される.</t>
        </is>
      </c>
      <c r="H65" s="9" t="inlineStr">
        <is>
          <t>P2</t>
        </is>
      </c>
      <c r="I65" s="10" t="inlineStr">
        <is>
          <t>未実装</t>
        </is>
      </c>
      <c r="J65" s="13" t="inlineStr">
        <is>
          <t>レポートダッシュボードなし。リードタイム計算なし。</t>
        </is>
      </c>
      <c r="K65" s="13" t="inlineStr">
        <is>
          <t>https://eb-filemg-development.vercel.app</t>
        </is>
      </c>
      <c r="L65" s="7" t="inlineStr">
        <is>
          <t>N/A</t>
        </is>
      </c>
      <c r="M65" s="8" t="n"/>
      <c r="N65" s="8" t="n"/>
      <c r="O65" s="13" t="inlineStr">
        <is>
          <t>Spec 6.8 (レポート)
→ "承認リードタイム、差戻し率、カテゴリ別件数、遅延ランキングのダッシュボード."</t>
        </is>
      </c>
      <c r="P65" s="3" t="n"/>
      <c r="Q65" s="3" t="n"/>
      <c r="R65" s="3" t="n"/>
      <c r="S65" s="3" t="n"/>
      <c r="T65" s="3" t="n"/>
      <c r="U65" s="3" t="n"/>
      <c r="V65" s="3" t="n"/>
      <c r="W65" s="3" t="n"/>
      <c r="X65" s="3" t="n"/>
      <c r="Y65" s="3" t="n"/>
      <c r="Z65" s="3" t="n"/>
    </row>
    <row r="66">
      <c r="A66" s="13" t="inlineStr">
        <is>
          <t>TC-RPT-002</t>
        </is>
      </c>
      <c r="B66" s="13" t="inlineStr">
        <is>
          <t>レポート</t>
        </is>
      </c>
      <c r="C66" s="13" t="inlineStr">
        <is>
          <t>ダッシュボード</t>
        </is>
      </c>
      <c r="D66" s="13" t="inlineStr">
        <is>
          <t>差戻し率を表示</t>
        </is>
      </c>
      <c r="E66" s="13" t="inlineStr">
        <is>
          <t>差戻し済みと承認済みの稟議が混在</t>
        </is>
      </c>
      <c r="F66" s="13" t="inlineStr">
        <is>
          <t>1. レポートダッシュボードに移動する
2. View 'Send-back Rate' metric
3. Check percentage and trend</t>
        </is>
      </c>
      <c r="G66" s="13" t="inlineStr">
        <is>
          <t>差戻し率の集計が表示される。</t>
        </is>
      </c>
      <c r="H66" s="9" t="inlineStr">
        <is>
          <t>P2</t>
        </is>
      </c>
      <c r="I66" s="10" t="inlineStr">
        <is>
          <t>未実装</t>
        </is>
      </c>
      <c r="J66" s="13" t="inlineStr">
        <is>
          <t>差戻し率の集計なし。</t>
        </is>
      </c>
      <c r="K66" s="13" t="inlineStr">
        <is>
          <t>https://eb-filemg-development.vercel.app</t>
        </is>
      </c>
      <c r="L66" s="7" t="inlineStr">
        <is>
          <t>N/A</t>
        </is>
      </c>
      <c r="M66" s="8" t="n"/>
      <c r="N66" s="8" t="n"/>
      <c r="O66" s="13" t="inlineStr">
        <is>
          <t>Spec 6.8 (レポート)
→ "承認リードタイム、差戻し率、カテゴリ別件数、遅延ランキングのダッシュボード."</t>
        </is>
      </c>
      <c r="P66" s="3" t="n"/>
      <c r="Q66" s="3" t="n"/>
      <c r="R66" s="3" t="n"/>
      <c r="S66" s="3" t="n"/>
      <c r="T66" s="3" t="n"/>
      <c r="U66" s="3" t="n"/>
      <c r="V66" s="3" t="n"/>
      <c r="W66" s="3" t="n"/>
      <c r="X66" s="3" t="n"/>
      <c r="Y66" s="3" t="n"/>
      <c r="Z66" s="3" t="n"/>
    </row>
    <row r="67">
      <c r="A67" s="13" t="inlineStr">
        <is>
          <t>TC-RPT-003</t>
        </is>
      </c>
      <c r="B67" s="13" t="inlineStr">
        <is>
          <t>レポート</t>
        </is>
      </c>
      <c r="C67" s="13" t="inlineStr">
        <is>
          <t>ダッシュボード</t>
        </is>
      </c>
      <c r="D67" s="13" t="inlineStr">
        <is>
          <t>カテゴリ別件数を表示</t>
        </is>
      </c>
      <c r="E67" s="13" t="inlineStr">
        <is>
          <t>複数カテゴリの稟議が存在</t>
        </is>
      </c>
      <c r="F67" s="13" t="inlineStr">
        <is>
          <t>1. レポートダッシュボードに移動する
2. View 'By Category' chart/breakdown
3. 確認する all categories represented</t>
        </is>
      </c>
      <c r="G67" s="13" t="inlineStr">
        <is>
          <t>カテゴリごとの稟議件数を棒グラフまたはテーブルで表示。全カテゴリが含まれる。</t>
        </is>
      </c>
      <c r="H67" s="11" t="inlineStr">
        <is>
          <t>P3</t>
        </is>
      </c>
      <c r="I67" s="10" t="inlineStr">
        <is>
          <t>未実装</t>
        </is>
      </c>
      <c r="J67" s="13" t="inlineStr">
        <is>
          <t>カテゴリ別集計チャートなし。</t>
        </is>
      </c>
      <c r="K67" s="13" t="inlineStr">
        <is>
          <t>https://eb-filemg-development.vercel.app</t>
        </is>
      </c>
      <c r="L67" s="7" t="inlineStr">
        <is>
          <t>N/A</t>
        </is>
      </c>
      <c r="M67" s="8" t="n"/>
      <c r="N67" s="8" t="n"/>
      <c r="O67" s="13" t="inlineStr">
        <is>
          <t>Spec 6.8 (レポート)
→ "承認リードタイム、差戻し率、カテゴリ別件数、遅延ランキングのダッシュボード."</t>
        </is>
      </c>
      <c r="P67" s="3" t="n"/>
      <c r="Q67" s="3" t="n"/>
      <c r="R67" s="3" t="n"/>
      <c r="S67" s="3" t="n"/>
      <c r="T67" s="3" t="n"/>
      <c r="U67" s="3" t="n"/>
      <c r="V67" s="3" t="n"/>
      <c r="W67" s="3" t="n"/>
      <c r="X67" s="3" t="n"/>
      <c r="Y67" s="3" t="n"/>
      <c r="Z67" s="3" t="n"/>
    </row>
    <row r="68">
      <c r="A68" s="13" t="inlineStr">
        <is>
          <t>TC-RPT-004</t>
        </is>
      </c>
      <c r="B68" s="13" t="inlineStr">
        <is>
          <t>レポート</t>
        </is>
      </c>
      <c r="C68" s="13" t="inlineStr">
        <is>
          <t>ダッシュボード</t>
        </is>
      </c>
      <c r="D68" s="13" t="inlineStr">
        <is>
          <t>遅延ランキングを表示</t>
        </is>
      </c>
      <c r="E68" s="13" t="inlineStr">
        <is>
          <t>様々な経過日数の保留中稟議が存在</t>
        </is>
      </c>
      <c r="F68" s="13" t="inlineStr">
        <is>
          <t>1. レポートダッシュボードに移動する
2. View 'Delay Rankings' or 'Longest Pending' section</t>
        </is>
      </c>
      <c r="G68" s="13" t="inlineStr">
        <is>
          <t>最長保留の稟議が待ち時間順にランキング表示。各稟議の詳細へのリンク付き。</t>
        </is>
      </c>
      <c r="H68" s="11" t="inlineStr">
        <is>
          <t>P3</t>
        </is>
      </c>
      <c r="I68" s="10" t="inlineStr">
        <is>
          <t>未実装</t>
        </is>
      </c>
      <c r="J68" s="13" t="inlineStr">
        <is>
          <t>遅延ランキング機能なし。</t>
        </is>
      </c>
      <c r="K68" s="13" t="inlineStr">
        <is>
          <t>https://eb-filemg-development.vercel.app</t>
        </is>
      </c>
      <c r="L68" s="7" t="inlineStr">
        <is>
          <t>N/A</t>
        </is>
      </c>
      <c r="M68" s="8" t="n"/>
      <c r="N68" s="8" t="n"/>
      <c r="O68" s="13" t="inlineStr">
        <is>
          <t>Spec 6.8 (レポート)
→ "承認リードタイム、差戻し率、カテゴリ別件数、遅延ランキングのダッシュボード."</t>
        </is>
      </c>
      <c r="P68" s="3" t="n"/>
      <c r="Q68" s="3" t="n"/>
      <c r="R68" s="3" t="n"/>
      <c r="S68" s="3" t="n"/>
      <c r="T68" s="3" t="n"/>
      <c r="U68" s="3" t="n"/>
      <c r="V68" s="3" t="n"/>
      <c r="W68" s="3" t="n"/>
      <c r="X68" s="3" t="n"/>
      <c r="Y68" s="3" t="n"/>
      <c r="Z68" s="3" t="n"/>
    </row>
    <row r="69">
      <c r="A69" s="13" t="inlineStr">
        <is>
          <t>TC-RPT-005</t>
        </is>
      </c>
      <c r="B69" s="13" t="inlineStr">
        <is>
          <t>レポート</t>
        </is>
      </c>
      <c r="C69" s="13" t="inlineStr">
        <is>
          <t>エクスポート</t>
        </is>
      </c>
      <c r="D69" s="13" t="inlineStr">
        <is>
          <t>監査データをCSVでエクスポート</t>
        </is>
      </c>
      <c r="E69" s="13" t="inlineStr">
        <is>
          <t>監査/アクティビティデータが存在</t>
        </is>
      </c>
      <c r="F69" s="13" t="inlineStr">
        <is>
          <t>1. レポートまたはアクティビティログページに移動する
2. 「CSVエクスポート」をクリック
3. エクスポートしたファイルを開く CSV file
4. 確認する columns include: IP, user, operation, timestamp, details</t>
        </is>
      </c>
      <c r="G69" s="13" t="inlineStr">
        <is>
          <t>必要な監査項目すべてを含むCSVがエクスポートされる. データが画面表示と一致する.</t>
        </is>
      </c>
      <c r="H69" s="9" t="inlineStr">
        <is>
          <t>P2</t>
        </is>
      </c>
      <c r="I69" s="10" t="inlineStr">
        <is>
          <t>未実装</t>
        </is>
      </c>
      <c r="J69" s="13" t="inlineStr">
        <is>
          <t>CSVエクスポートなし。仕様ではIP、ユーザー、操作詳細付きエクスポートが必要。</t>
        </is>
      </c>
      <c r="K69" s="13" t="inlineStr">
        <is>
          <t>https://eb-filemg-development.vercel.app</t>
        </is>
      </c>
      <c r="L69" s="7" t="inlineStr">
        <is>
          <t>N/A</t>
        </is>
      </c>
      <c r="M69" s="8" t="n"/>
      <c r="N69" s="8" t="n"/>
      <c r="O69" s="13" t="inlineStr">
        <is>
          <t>Spec 6.8 (レポート)
→ "CSV/Excelエクスポート（監査用、IP/ユーザー/操作を含む）."</t>
        </is>
      </c>
      <c r="P69" s="3" t="n"/>
      <c r="Q69" s="3" t="n"/>
      <c r="R69" s="3" t="n"/>
      <c r="S69" s="3" t="n"/>
      <c r="T69" s="3" t="n"/>
      <c r="U69" s="3" t="n"/>
      <c r="V69" s="3" t="n"/>
      <c r="W69" s="3" t="n"/>
      <c r="X69" s="3" t="n"/>
      <c r="Y69" s="3" t="n"/>
      <c r="Z69" s="3" t="n"/>
    </row>
    <row r="70">
      <c r="A70" s="13" t="inlineStr">
        <is>
          <t>TC-RPT-006</t>
        </is>
      </c>
      <c r="B70" s="13" t="inlineStr">
        <is>
          <t>レポート</t>
        </is>
      </c>
      <c r="C70" s="13" t="inlineStr">
        <is>
          <t>エクスポート</t>
        </is>
      </c>
      <c r="D70" s="13" t="inlineStr">
        <is>
          <t>監査データをExcelでエクスポート</t>
        </is>
      </c>
      <c r="E70" s="13" t="inlineStr">
        <is>
          <t>監査データが存在</t>
        </is>
      </c>
      <c r="F70" s="13" t="inlineStr">
        <is>
          <t>1. レポートページに移動する
2. 「Excelエクスポート」をクリック
3. エクスポートしたファイルを開く Excel file
4. 確認する proper formatting and all columns</t>
        </is>
      </c>
      <c r="G70" s="13" t="inlineStr">
        <is>
          <t>適切なフォーマットのExcelファイル. 全監査カラムが含まれる. データが正確.</t>
        </is>
      </c>
      <c r="H70" s="11" t="inlineStr">
        <is>
          <t>P3</t>
        </is>
      </c>
      <c r="I70" s="10" t="inlineStr">
        <is>
          <t>未実装</t>
        </is>
      </c>
      <c r="J70" s="13" t="inlineStr">
        <is>
          <t>Excelエクスポート機能なし。</t>
        </is>
      </c>
      <c r="K70" s="13" t="inlineStr">
        <is>
          <t>https://eb-filemg-development.vercel.app</t>
        </is>
      </c>
      <c r="L70" s="7" t="inlineStr">
        <is>
          <t>N/A</t>
        </is>
      </c>
      <c r="M70" s="8" t="n"/>
      <c r="N70" s="8" t="n"/>
      <c r="O70" s="13" t="inlineStr">
        <is>
          <t>Spec 6.8 (レポート)
→ "CSV/Excelエクスポート（監査用、IP/ユーザー/操作を含む）."</t>
        </is>
      </c>
      <c r="P70" s="3" t="n"/>
      <c r="Q70" s="3" t="n"/>
      <c r="R70" s="3" t="n"/>
      <c r="S70" s="3" t="n"/>
      <c r="T70" s="3" t="n"/>
      <c r="U70" s="3" t="n"/>
      <c r="V70" s="3" t="n"/>
      <c r="W70" s="3" t="n"/>
      <c r="X70" s="3" t="n"/>
      <c r="Y70" s="3" t="n"/>
      <c r="Z70" s="3" t="n"/>
    </row>
    <row r="71">
      <c r="A71" s="13" t="inlineStr">
        <is>
          <t>TC-SEC-001</t>
        </is>
      </c>
      <c r="B71" s="13" t="inlineStr">
        <is>
          <t>権限・セキュリティ</t>
        </is>
      </c>
      <c r="C71" s="13" t="inlineStr">
        <is>
          <t>ロールベースアクセス制御</t>
        </is>
      </c>
      <c r="D71" s="13" t="inlineStr">
        <is>
          <t>従業員は自分の稟議のみ閲覧可能</t>
        </is>
      </c>
      <c r="E71" s="13" t="inlineStr">
        <is>
          <t>従業員としてログイン済み、複数ユーザーの稟議が存在</t>
        </is>
      </c>
      <c r="F71" s="13" t="inlineStr">
        <is>
          <t>1. としてログイン employee
2. ダッシュボードに移動する
3. 確認する only own ringi visible in the list
4. を試みる access another user's ringi by direct URL</t>
        </is>
      </c>
      <c r="G71" s="13" t="inlineStr">
        <is>
          <t>従業員は自分の申請のみ表示される. 他ユーザーの稟議にアクセス不可.</t>
        </is>
      </c>
      <c r="H71" s="5" t="inlineStr">
        <is>
          <t>P1</t>
        </is>
      </c>
      <c r="I71" s="6" t="inlineStr">
        <is>
          <t>実装済み</t>
        </is>
      </c>
      <c r="J71" s="13" t="inlineStr">
        <is>
          <t>RLSポリシーがuser_id = auth.uid()でスコープ。</t>
        </is>
      </c>
      <c r="K71" s="13" t="inlineStr">
        <is>
          <t>https://eb-filemg-development.vercel.app</t>
        </is>
      </c>
      <c r="L71" s="7" t="inlineStr">
        <is>
          <t>N/A</t>
        </is>
      </c>
      <c r="M71" s="8" t="n"/>
      <c r="N71" s="8" t="n"/>
      <c r="O71" s="13" t="inlineStr">
        <is>
          <t>Spec 6.7 (権限・セキュリティ)
→ "ロールベースアクセス制御: 起案者は自分の申請を編集/閲覧, 承認者は割り当てられた案件を操作, 管理者は全件閲覧し設定変更."</t>
        </is>
      </c>
      <c r="P71" s="3" t="n"/>
      <c r="Q71" s="3" t="n"/>
      <c r="R71" s="3" t="n"/>
      <c r="S71" s="3" t="n"/>
      <c r="T71" s="3" t="n"/>
      <c r="U71" s="3" t="n"/>
      <c r="V71" s="3" t="n"/>
      <c r="W71" s="3" t="n"/>
      <c r="X71" s="3" t="n"/>
      <c r="Y71" s="3" t="n"/>
      <c r="Z71" s="3" t="n"/>
    </row>
    <row r="72">
      <c r="A72" s="13" t="inlineStr">
        <is>
          <t>TC-SEC-002</t>
        </is>
      </c>
      <c r="B72" s="13" t="inlineStr">
        <is>
          <t>権限・セキュリティ</t>
        </is>
      </c>
      <c r="C72" s="13" t="inlineStr">
        <is>
          <t>ロールベースアクセス制御</t>
        </is>
      </c>
      <c r="D72" s="13" t="inlineStr">
        <is>
          <t>管理者は承認対象の全稟議を閲覧可能</t>
        </is>
      </c>
      <c r="E72" s="13" t="inlineStr">
        <is>
          <t>管理者としてログイン済み、各ユーザーの稟議が存在</t>
        </is>
      </c>
      <c r="F72" s="13" t="inlineStr">
        <is>
          <t>1. としてログイン manager
2. ダッシュボードに移動する
3. 他ユーザーの稟議が見えることを確認 pending approval</t>
        </is>
      </c>
      <c r="G72" s="13" t="inlineStr">
        <is>
          <t>管理者は承認待ちの稟議と自分の申請が表示される.</t>
        </is>
      </c>
      <c r="H72" s="5" t="inlineStr">
        <is>
          <t>P1</t>
        </is>
      </c>
      <c r="I72" s="12" t="inlineStr">
        <is>
          <t>一部実装</t>
        </is>
      </c>
      <c r="J72" s="13" t="inlineStr">
        <is>
          <t>管理者は全稟議を表示（サービス層）だが、ルーティングエンジンがないため「自分に割当」の概念なし。</t>
        </is>
      </c>
      <c r="K72" s="13" t="inlineStr">
        <is>
          <t>https://eb-filemg-development.vercel.app</t>
        </is>
      </c>
      <c r="L72" s="7" t="inlineStr">
        <is>
          <t>N/A</t>
        </is>
      </c>
      <c r="M72" s="8" t="n"/>
      <c r="N72" s="8" t="n"/>
      <c r="O72" s="13" t="inlineStr">
        <is>
          <t>Spec 6.7 (権限・セキュリティ)
→ "ロールベースアクセス制御: 起案者は自分の申請を編集/閲覧, 承認者は割り当てられた案件を操作, 管理者は全件閲覧し設定変更."</t>
        </is>
      </c>
      <c r="P72" s="3" t="n"/>
      <c r="Q72" s="3" t="n"/>
      <c r="R72" s="3" t="n"/>
      <c r="S72" s="3" t="n"/>
      <c r="T72" s="3" t="n"/>
      <c r="U72" s="3" t="n"/>
      <c r="V72" s="3" t="n"/>
      <c r="W72" s="3" t="n"/>
      <c r="X72" s="3" t="n"/>
      <c r="Y72" s="3" t="n"/>
      <c r="Z72" s="3" t="n"/>
    </row>
    <row r="73">
      <c r="A73" s="13" t="inlineStr">
        <is>
          <t>TC-SEC-003</t>
        </is>
      </c>
      <c r="B73" s="13" t="inlineStr">
        <is>
          <t>権限・セキュリティ</t>
        </is>
      </c>
      <c r="C73" s="13" t="inlineStr">
        <is>
          <t>ロールベースアクセス制御</t>
        </is>
      </c>
      <c r="D73" s="13" t="inlineStr">
        <is>
          <t>スーパー管理者は全件閲覧可能</t>
        </is>
      </c>
      <c r="E73" s="13" t="inlineStr">
        <is>
          <t>スーパー管理者としてログイン済み、全部門の稟議が存在</t>
        </is>
      </c>
      <c r="F73" s="13" t="inlineStr">
        <is>
          <t>1. としてログイン superadmin
2. ダッシュボードに移動する
3. 確認する all ringi from all users/departments visible</t>
        </is>
      </c>
      <c r="G73" s="13" t="inlineStr">
        <is>
          <t>スーパー管理者が全部門・全ユーザーの稟議を閲覧可能.</t>
        </is>
      </c>
      <c r="H73" s="5" t="inlineStr">
        <is>
          <t>P1</t>
        </is>
      </c>
      <c r="I73" s="6" t="inlineStr">
        <is>
          <t>実装済み</t>
        </is>
      </c>
      <c r="J73" s="13" t="inlineStr">
        <is>
          <t>スーパー管理者は所有権制限をバイパス。</t>
        </is>
      </c>
      <c r="K73" s="13" t="inlineStr">
        <is>
          <t>https://eb-filemg-development.vercel.app</t>
        </is>
      </c>
      <c r="L73" s="7" t="inlineStr">
        <is>
          <t>N/A</t>
        </is>
      </c>
      <c r="M73" s="8" t="n"/>
      <c r="N73" s="8" t="n"/>
      <c r="O73" s="13" t="inlineStr">
        <is>
          <t>Spec 6.7 (権限・セキュリティ)
→ "ロールベースアクセス制御: 起案者は自分の申請を編集/閲覧, 承認者は割り当てられた案件を操作, 管理者は全件閲覧し設定変更."</t>
        </is>
      </c>
      <c r="P73" s="3" t="n"/>
      <c r="Q73" s="3" t="n"/>
      <c r="R73" s="3" t="n"/>
      <c r="S73" s="3" t="n"/>
      <c r="T73" s="3" t="n"/>
      <c r="U73" s="3" t="n"/>
      <c r="V73" s="3" t="n"/>
      <c r="W73" s="3" t="n"/>
      <c r="X73" s="3" t="n"/>
      <c r="Y73" s="3" t="n"/>
      <c r="Z73" s="3" t="n"/>
    </row>
    <row r="74">
      <c r="A74" s="13" t="inlineStr">
        <is>
          <t>TC-SEC-004</t>
        </is>
      </c>
      <c r="B74" s="13" t="inlineStr">
        <is>
          <t>権限・セキュリティ</t>
        </is>
      </c>
      <c r="C74" s="13" t="inlineStr">
        <is>
          <t>ロールベースアクセス制御</t>
        </is>
      </c>
      <c r="D74" s="13" t="inlineStr">
        <is>
          <t>経理担当者の閲覧専用アクセス確認</t>
        </is>
      </c>
      <c r="E74" s="13" t="inlineStr">
        <is>
          <t>経理担当者としてログイン済み、各種稟議が存在</t>
        </is>
      </c>
      <c r="F74" s="13" t="inlineStr">
        <is>
          <t>1. としてログイン accountant
2. に移動する ringi detail page
3. 確認する no edit/approve/reject/cancel buttons
4. 確認する can view details and attachments</t>
        </is>
      </c>
      <c r="G74" s="13" t="inlineStr">
        <is>
          <t>経理担当者は全詳細を閲覧可能だが稟議を変更不可. アクションボタンが表示されない.</t>
        </is>
      </c>
      <c r="H74" s="5" t="inlineStr">
        <is>
          <t>P1</t>
        </is>
      </c>
      <c r="I74" s="6" t="inlineStr">
        <is>
          <t>実装済み</t>
        </is>
      </c>
      <c r="J74" s="13" t="inlineStr">
        <is>
          <t>経理担当者ロールはステータス更新から除外。</t>
        </is>
      </c>
      <c r="K74" s="13" t="inlineStr">
        <is>
          <t>https://eb-filemg-development.vercel.app</t>
        </is>
      </c>
      <c r="L74" s="7" t="inlineStr">
        <is>
          <t>N/A</t>
        </is>
      </c>
      <c r="M74" s="8" t="n"/>
      <c r="N74" s="8" t="n"/>
      <c r="O74" s="13" t="inlineStr">
        <is>
          <t>Spec 6.7 (権限・セキュリティ)
→ "ロールベースアクセス制御: 起案者は自分の申請を編集/閲覧, 承認者は割り当てられた案件を操作, 管理者は全件閲覧し設定変更."</t>
        </is>
      </c>
      <c r="P74" s="3" t="n"/>
      <c r="Q74" s="3" t="n"/>
      <c r="R74" s="3" t="n"/>
      <c r="S74" s="3" t="n"/>
      <c r="T74" s="3" t="n"/>
      <c r="U74" s="3" t="n"/>
      <c r="V74" s="3" t="n"/>
      <c r="W74" s="3" t="n"/>
      <c r="X74" s="3" t="n"/>
      <c r="Y74" s="3" t="n"/>
      <c r="Z74" s="3" t="n"/>
    </row>
    <row r="75">
      <c r="A75" s="13" t="inlineStr">
        <is>
          <t>TC-SEC-005</t>
        </is>
      </c>
      <c r="B75" s="13" t="inlineStr">
        <is>
          <t>権限・セキュリティ</t>
        </is>
      </c>
      <c r="C75" s="13" t="inlineStr">
        <is>
          <t>監査ログ</t>
        </is>
      </c>
      <c r="D75" s="13" t="inlineStr">
        <is>
          <t>アクティビティログが全操作を差分付きで記録</t>
        </is>
      </c>
      <c r="E75" s="13" t="inlineStr">
        <is>
          <t>ユーザーが作成、編集、承認の操作を実行</t>
        </is>
      </c>
      <c r="F75" s="13" t="inlineStr">
        <is>
          <t>1. Create a new ringi
2. Edit the ringi (change title and amount)
3. Manager approves the ringi
4. に移動する Activity Log page
5. 3つの操作すべてがログに記録されることを確認 with old/new value diff</t>
        </is>
      </c>
      <c r="G75" s="13" t="inlineStr">
        <is>
          <t>各操作が記録される:: 操作タイプ、エンティティ情報、変更前後の値、タイムスタンプ、ユーザーID.</t>
        </is>
      </c>
      <c r="H75" s="5" t="inlineStr">
        <is>
          <t>P1</t>
        </is>
      </c>
      <c r="I75" s="6" t="inlineStr">
        <is>
          <t>実装済み</t>
        </is>
      </c>
      <c r="J75" s="13" t="inlineStr">
        <is>
          <t>logActivity()が全体でold/new値の差分付きで使用。</t>
        </is>
      </c>
      <c r="K75" s="13" t="inlineStr">
        <is>
          <t>https://eb-filemg-development.vercel.app</t>
        </is>
      </c>
      <c r="L75" s="7" t="inlineStr">
        <is>
          <t>N/A</t>
        </is>
      </c>
      <c r="M75" s="8" t="n"/>
      <c r="N75" s="8" t="n"/>
      <c r="O75" s="13" t="inlineStr">
        <is>
          <t>Spec 6.7 (権限・セキュリティ)
→ "監査ログ: 操作タイプ、変更前後の差分、IP、ユーザーエージェント、タイムスタンプを改ざん防止領域に保存."</t>
        </is>
      </c>
      <c r="P75" s="3" t="n"/>
      <c r="Q75" s="3" t="n"/>
      <c r="R75" s="3" t="n"/>
      <c r="S75" s="3" t="n"/>
      <c r="T75" s="3" t="n"/>
      <c r="U75" s="3" t="n"/>
      <c r="V75" s="3" t="n"/>
      <c r="W75" s="3" t="n"/>
      <c r="X75" s="3" t="n"/>
      <c r="Y75" s="3" t="n"/>
      <c r="Z75" s="3" t="n"/>
    </row>
    <row r="76">
      <c r="A76" s="13" t="inlineStr">
        <is>
          <t>TC-SEC-006</t>
        </is>
      </c>
      <c r="B76" s="13" t="inlineStr">
        <is>
          <t>権限・セキュリティ</t>
        </is>
      </c>
      <c r="C76" s="13" t="inlineStr">
        <is>
          <t>監査ログ</t>
        </is>
      </c>
      <c r="D76" s="13" t="inlineStr">
        <is>
          <t>監査ログにIPアドレスを記録</t>
        </is>
      </c>
      <c r="E76" s="13" t="inlineStr">
        <is>
          <t>ユーザーが承認操作を実行</t>
        </is>
      </c>
      <c r="F76" s="13" t="inlineStr">
        <is>
          <t>1. Perform any approval operation (approve/reject)
2. Check activity_logs table in database
3. を探す 'ip' column with client IP address</t>
        </is>
      </c>
      <c r="G76" s="13" t="inlineStr">
        <is>
          <t>監査ログにIPアドレスが記録される entry for each operation.</t>
        </is>
      </c>
      <c r="H76" s="9" t="inlineStr">
        <is>
          <t>P2</t>
        </is>
      </c>
      <c r="I76" s="10" t="inlineStr">
        <is>
          <t>未実装</t>
        </is>
      </c>
      <c r="J76" s="13" t="inlineStr">
        <is>
          <t>activity_logsに'ip'カラムなし。仕様書セクション6.7で必要。</t>
        </is>
      </c>
      <c r="K76" s="13" t="inlineStr">
        <is>
          <t>https://eb-filemg-development.vercel.app</t>
        </is>
      </c>
      <c r="L76" s="7" t="inlineStr">
        <is>
          <t>N/A</t>
        </is>
      </c>
      <c r="M76" s="8" t="n"/>
      <c r="N76" s="8" t="n"/>
      <c r="O76" s="13" t="inlineStr">
        <is>
          <t>Spec 6.7 (権限・セキュリティ)
→ "監査ログ: 操作タイプ、変更前後の差分、IP、ユーザーエージェント、タイムスタンプを改ざん防止領域に保存."</t>
        </is>
      </c>
      <c r="P76" s="3" t="n"/>
      <c r="Q76" s="3" t="n"/>
      <c r="R76" s="3" t="n"/>
      <c r="S76" s="3" t="n"/>
      <c r="T76" s="3" t="n"/>
      <c r="U76" s="3" t="n"/>
      <c r="V76" s="3" t="n"/>
      <c r="W76" s="3" t="n"/>
      <c r="X76" s="3" t="n"/>
      <c r="Y76" s="3" t="n"/>
      <c r="Z76" s="3" t="n"/>
    </row>
    <row r="77">
      <c r="A77" s="13" t="inlineStr">
        <is>
          <t>TC-SEC-007</t>
        </is>
      </c>
      <c r="B77" s="13" t="inlineStr">
        <is>
          <t>権限・セキュリティ</t>
        </is>
      </c>
      <c r="C77" s="13" t="inlineStr">
        <is>
          <t>監査ログ</t>
        </is>
      </c>
      <c r="D77" s="13" t="inlineStr">
        <is>
          <t>監査ログにユーザーエージェントを記録</t>
        </is>
      </c>
      <c r="E77" s="13" t="inlineStr">
        <is>
          <t>ユーザーがブラウザから操作を実行</t>
        </is>
      </c>
      <c r="F77" s="13" t="inlineStr">
        <is>
          <t>1. Perform any action from a web browser
2. Check activity_logs table
3. を探す 'user_agent' column with browser info</t>
        </is>
      </c>
      <c r="G77" s="13" t="inlineStr">
        <is>
          <t>監査ログにユーザーエージェント文字列が記録される entry (e.g., 'Mozilla/5.0...').</t>
        </is>
      </c>
      <c r="H77" s="9" t="inlineStr">
        <is>
          <t>P2</t>
        </is>
      </c>
      <c r="I77" s="10" t="inlineStr">
        <is>
          <t>未実装</t>
        </is>
      </c>
      <c r="J77" s="13" t="inlineStr">
        <is>
          <t>activity_logsに'user_agent'カラムなし。仕様書セクション6.7で必要。</t>
        </is>
      </c>
      <c r="K77" s="13" t="inlineStr">
        <is>
          <t>https://eb-filemg-development.vercel.app</t>
        </is>
      </c>
      <c r="L77" s="7" t="inlineStr">
        <is>
          <t>N/A</t>
        </is>
      </c>
      <c r="M77" s="8" t="n"/>
      <c r="N77" s="8" t="n"/>
      <c r="O77" s="13" t="inlineStr">
        <is>
          <t>Spec 6.7 (権限・セキュリティ)
→ "監査ログ: 操作タイプ、変更前後の差分、IP、ユーザーエージェント、タイムスタンプを改ざん防止領域に保存."</t>
        </is>
      </c>
      <c r="P77" s="3" t="n"/>
      <c r="Q77" s="3" t="n"/>
      <c r="R77" s="3" t="n"/>
      <c r="S77" s="3" t="n"/>
      <c r="T77" s="3" t="n"/>
      <c r="U77" s="3" t="n"/>
      <c r="V77" s="3" t="n"/>
      <c r="W77" s="3" t="n"/>
      <c r="X77" s="3" t="n"/>
      <c r="Y77" s="3" t="n"/>
      <c r="Z77" s="3" t="n"/>
    </row>
    <row r="78">
      <c r="A78" s="13" t="inlineStr">
        <is>
          <t>TC-SEC-008</t>
        </is>
      </c>
      <c r="B78" s="13" t="inlineStr">
        <is>
          <t>権限・セキュリティ</t>
        </is>
      </c>
      <c r="C78" s="13" t="inlineStr">
        <is>
          <t>監査ログ</t>
        </is>
      </c>
      <c r="D78" s="13" t="inlineStr">
        <is>
          <t>改ざん防止の監査ストレージ（追記のみ）</t>
        </is>
      </c>
      <c r="E78" s="13" t="inlineStr">
        <is>
          <t>管理者またはシステムが監査ログの変更を試行</t>
        </is>
      </c>
      <c r="F78" s="13" t="inlineStr">
        <is>
          <t>1. View existing audit log entries
2. を試みる UPDATE an audit log record
3. を試みる DELETE an audit log record
4. 確認する both operations blocked</t>
        </is>
      </c>
      <c r="G78" s="13" t="inlineStr">
        <is>
          <t>監査ログは追記のみ. UPDATEとDELETE操作がブロックされる by RLS/policy.</t>
        </is>
      </c>
      <c r="H78" s="9" t="inlineStr">
        <is>
          <t>P2</t>
        </is>
      </c>
      <c r="I78" s="10" t="inlineStr">
        <is>
          <t>未実装</t>
        </is>
      </c>
      <c r="J78" s="13" t="inlineStr">
        <is>
          <t>activity_logsテーブルに書き込み専用制約なし。</t>
        </is>
      </c>
      <c r="K78" s="13" t="inlineStr">
        <is>
          <t>https://eb-filemg-development.vercel.app</t>
        </is>
      </c>
      <c r="L78" s="7" t="inlineStr">
        <is>
          <t>N/A</t>
        </is>
      </c>
      <c r="M78" s="8" t="n"/>
      <c r="N78" s="8" t="n"/>
      <c r="O78" s="13" t="inlineStr">
        <is>
          <t>Spec 6.7 (権限・セキュリティ)
→ "監査ログ: 操作タイプ、変更前後の差分、IP、ユーザーエージェント、タイムスタンプを改ざん防止領域に保存."</t>
        </is>
      </c>
      <c r="P78" s="3" t="n"/>
      <c r="Q78" s="3" t="n"/>
      <c r="R78" s="3" t="n"/>
      <c r="S78" s="3" t="n"/>
      <c r="T78" s="3" t="n"/>
      <c r="U78" s="3" t="n"/>
      <c r="V78" s="3" t="n"/>
      <c r="W78" s="3" t="n"/>
      <c r="X78" s="3" t="n"/>
      <c r="Y78" s="3" t="n"/>
      <c r="Z78" s="3" t="n"/>
    </row>
    <row r="79">
      <c r="A79" s="13" t="inlineStr">
        <is>
          <t>TC-SEC-009</t>
        </is>
      </c>
      <c r="B79" s="13" t="inlineStr">
        <is>
          <t>権限・セキュリティ</t>
        </is>
      </c>
      <c r="C79" s="13" t="inlineStr">
        <is>
          <t>テナント</t>
        </is>
      </c>
      <c r="D79" s="13" t="inlineStr">
        <is>
          <t>テナント/ワークスペース分離の確認</t>
        </is>
      </c>
      <c r="E79" s="13" t="inlineStr">
        <is>
          <t>システムに複数のワークスペース/テナントが設定済み</t>
        </is>
      </c>
      <c r="F79" s="13" t="inlineStr">
        <is>
          <t>1. Log in to workspace A
2. 確認する cannot see workspace B data or ringi
3. 確認する approval routes scoped to workspace
4. 確認する no cross-tenant data leakage</t>
        </is>
      </c>
      <c r="G79" s="13" t="inlineStr">
        <is>
          <t>テナント間でデータが完全に分離される. どの画面でもテナント間データ漏洩がない.</t>
        </is>
      </c>
      <c r="H79" s="5" t="inlineStr">
        <is>
          <t>P1</t>
        </is>
      </c>
      <c r="I79" s="10" t="inlineStr">
        <is>
          <t>未実装</t>
        </is>
      </c>
      <c r="J79" s="13" t="inlineStr">
        <is>
          <t>テナント分離が未検証。RLSはuser_idでスコープするがワークスペースレベルの分離なし。</t>
        </is>
      </c>
      <c r="K79" s="13" t="inlineStr">
        <is>
          <t>https://eb-filemg-development.vercel.app</t>
        </is>
      </c>
      <c r="L79" s="7" t="inlineStr">
        <is>
          <t>N/A</t>
        </is>
      </c>
      <c r="M79" s="8" t="n"/>
      <c r="N79" s="8" t="n"/>
      <c r="O79" s="13" t="inlineStr">
        <is>
          <t>Spec 6.7 (権限・セキュリティ)
→ "テナント分離、最小権限でのDriveアクセス."</t>
        </is>
      </c>
      <c r="P79" s="3" t="n"/>
      <c r="Q79" s="3" t="n"/>
      <c r="R79" s="3" t="n"/>
      <c r="S79" s="3" t="n"/>
      <c r="T79" s="3" t="n"/>
      <c r="U79" s="3" t="n"/>
      <c r="V79" s="3" t="n"/>
      <c r="W79" s="3" t="n"/>
      <c r="X79" s="3" t="n"/>
      <c r="Y79" s="3" t="n"/>
      <c r="Z79" s="3" t="n"/>
    </row>
    <row r="80">
      <c r="A80" s="13" t="inlineStr">
        <is>
          <t>TC-SEC-010</t>
        </is>
      </c>
      <c r="B80" s="13" t="inlineStr">
        <is>
          <t>権限・セキュリティ</t>
        </is>
      </c>
      <c r="C80" s="13" t="inlineStr">
        <is>
          <t>IPアクセス制限</t>
        </is>
      </c>
      <c r="D80" s="13" t="inlineStr">
        <is>
          <t>IPアクセス制限オプション</t>
        </is>
      </c>
      <c r="E80" s="13" t="inlineStr">
        <is>
          <t>管理者がIPアクセス制限を設定</t>
        </is>
      </c>
      <c r="F80" s="13" t="inlineStr">
        <is>
          <t>1. セキュリティ設定に移動する
2. 許可するIP範囲を設定 (e.g., 192.168.1.0/24)
3. Attempt access from blocked IP
4. Attempt access from allowed IP</t>
        </is>
      </c>
      <c r="G80" s="13" t="inlineStr">
        <is>
          <t>ホワイトリスト外のIPからのアクセスが拒否される. 許可されたIPからは通常アクセス可能. Error page shown for blocked.</t>
        </is>
      </c>
      <c r="H80" s="11" t="inlineStr">
        <is>
          <t>P3</t>
        </is>
      </c>
      <c r="I80" s="10" t="inlineStr">
        <is>
          <t>未実装</t>
        </is>
      </c>
      <c r="J80" s="13" t="inlineStr">
        <is>
          <t>IPアクセス制限機能なし。</t>
        </is>
      </c>
      <c r="K80" s="13" t="inlineStr">
        <is>
          <t>https://eb-filemg-development.vercel.app</t>
        </is>
      </c>
      <c r="L80" s="7" t="inlineStr">
        <is>
          <t>N/A</t>
        </is>
      </c>
      <c r="M80" s="8" t="n"/>
      <c r="N80" s="8" t="n"/>
      <c r="O80" s="13" t="inlineStr">
        <is>
          <t>Spec 6.7 (権限・セキュリティ)
→ "IPアクセス制限オプション."</t>
        </is>
      </c>
      <c r="P80" s="3" t="n"/>
      <c r="Q80" s="3" t="n"/>
      <c r="R80" s="3" t="n"/>
      <c r="S80" s="3" t="n"/>
      <c r="T80" s="3" t="n"/>
      <c r="U80" s="3" t="n"/>
      <c r="V80" s="3" t="n"/>
      <c r="W80" s="3" t="n"/>
      <c r="X80" s="3" t="n"/>
      <c r="Y80" s="3" t="n"/>
      <c r="Z80" s="3" t="n"/>
    </row>
    <row r="81">
      <c r="A81" s="13" t="inlineStr">
        <is>
          <t>TC-UIX-001</t>
        </is>
      </c>
      <c r="B81" s="13" t="inlineStr">
        <is>
          <t>UI/UX</t>
        </is>
      </c>
      <c r="C81" s="13" t="inlineStr">
        <is>
          <t>チャットモーダル</t>
        </is>
      </c>
      <c r="D81" s="13" t="inlineStr">
        <is>
          <t>チャットからモーダル/ドロワーで申請フォームを開く</t>
        </is>
      </c>
      <c r="E81" s="13" t="inlineStr">
        <is>
          <t>チャット画面（/c）でのユーザー</t>
        </is>
      </c>
      <c r="F81" s="13" t="inlineStr">
        <is>
          <t>1. /c（チャットページ）に移動する
2. を探す 'New Submission' or ringi creation button/trigger
3. Click to open modal or drawer overlay
4. 確認する form opens without navigating away from chat</t>
        </is>
      </c>
      <c r="G81" s="13" t="inlineStr">
        <is>
          <t>申請フォームがチャット上にモーダルまたはドロワーオーバーレイとして開く. 画面遷移なし. フォーム項目が利用可能.</t>
        </is>
      </c>
      <c r="H81" s="9" t="inlineStr">
        <is>
          <t>P2</t>
        </is>
      </c>
      <c r="I81" s="10" t="inlineStr">
        <is>
          <t>未実装</t>
        </is>
      </c>
      <c r="J81" s="13" t="inlineStr">
        <is>
          <t>チャットUIからのモーダル/ドロワートリガーなし。仕様書セクション9で必要。</t>
        </is>
      </c>
      <c r="K81" s="13" t="inlineStr">
        <is>
          <t>https://eb-filemg-development.vercel.app</t>
        </is>
      </c>
      <c r="L81" s="7" t="inlineStr">
        <is>
          <t>N/A</t>
        </is>
      </c>
      <c r="M81" s="8" t="n"/>
      <c r="N81" s="8" t="n"/>
      <c r="O81" s="13" t="inlineStr">
        <is>
          <t>Spec 9 (UI/UX)
→ "チャットからモーダル/ドロワーで起案フォームを開く. 必須項目バリデーション、進捗ガード."</t>
        </is>
      </c>
      <c r="P81" s="3" t="n"/>
      <c r="Q81" s="3" t="n"/>
      <c r="R81" s="3" t="n"/>
      <c r="S81" s="3" t="n"/>
      <c r="T81" s="3" t="n"/>
      <c r="U81" s="3" t="n"/>
      <c r="V81" s="3" t="n"/>
      <c r="W81" s="3" t="n"/>
      <c r="X81" s="3" t="n"/>
      <c r="Y81" s="3" t="n"/>
      <c r="Z81" s="3" t="n"/>
    </row>
    <row r="82">
      <c r="A82" s="13" t="inlineStr">
        <is>
          <t>TC-UIX-002</t>
        </is>
      </c>
      <c r="B82" s="13" t="inlineStr">
        <is>
          <t>UI/UX</t>
        </is>
      </c>
      <c r="C82" s="13" t="inlineStr">
        <is>
          <t>承認カード</t>
        </is>
      </c>
      <c r="D82" s="13" t="inlineStr">
        <is>
          <t>承認カードに主要情報を表示</t>
        </is>
      </c>
      <c r="E82" s="13" t="inlineStr">
        <is>
          <t>ダッシュボードに保留中の稟議が存在</t>
        </is>
      </c>
      <c r="F82" s="13" t="inlineStr">
        <is>
          <t>1. ダッシュボードに移動する
2. View approval request card
3. 確認する card shows: subject/title, amount, vendor, due date
4. 確認する action buttons present for approvers</t>
        </is>
      </c>
      <c r="G82" s="13" t="inlineStr">
        <is>
          <t>カードに件名、金額、取引先、期限が表示される. 承認者に承認/差戻しボタンが表示される.</t>
        </is>
      </c>
      <c r="H82" s="5" t="inlineStr">
        <is>
          <t>P1</t>
        </is>
      </c>
      <c r="I82" s="12" t="inlineStr">
        <is>
          <t>一部実装</t>
        </is>
      </c>
      <c r="J82" s="13" t="inlineStr">
        <is>
          <t>カードにタイトル、取引先、金額、カテゴリ、優先度を表示。期限表示なし（フィールドが存在しない）。クイックアクションあり。</t>
        </is>
      </c>
      <c r="K82" s="13" t="inlineStr">
        <is>
          <t>https://eb-filemg-development.vercel.app</t>
        </is>
      </c>
      <c r="L82" s="7" t="inlineStr">
        <is>
          <t>N/A</t>
        </is>
      </c>
      <c r="M82" s="8" t="n"/>
      <c r="N82" s="8" t="n"/>
      <c r="O82" s="13" t="inlineStr">
        <is>
          <t>Spec 9 (UI/UX)
→ "承認カードに主要項目を表示 (件名、金額、取引先、期限) とボタン. 進捗バーと期限の表示."</t>
        </is>
      </c>
      <c r="P82" s="3" t="n"/>
      <c r="Q82" s="3" t="n"/>
      <c r="R82" s="3" t="n"/>
      <c r="S82" s="3" t="n"/>
      <c r="T82" s="3" t="n"/>
      <c r="U82" s="3" t="n"/>
      <c r="V82" s="3" t="n"/>
      <c r="W82" s="3" t="n"/>
      <c r="X82" s="3" t="n"/>
      <c r="Y82" s="3" t="n"/>
      <c r="Z82" s="3" t="n"/>
    </row>
    <row r="83">
      <c r="A83" s="13" t="inlineStr">
        <is>
          <t>TC-UIX-003</t>
        </is>
      </c>
      <c r="B83" s="13" t="inlineStr">
        <is>
          <t>UI/UX</t>
        </is>
      </c>
      <c r="C83" s="13" t="inlineStr">
        <is>
          <t>進捗バー</t>
        </is>
      </c>
      <c r="D83" s="13" t="inlineStr">
        <is>
          <t>多段階承認の進捗バー</t>
        </is>
      </c>
      <c r="E83" s="13" t="inlineStr">
        <is>
          <t>多段階稟議が進行中（例：3段階中の第2段階）</t>
        </is>
      </c>
      <c r="F83" s="13" t="inlineStr">
        <is>
          <t>1. View ringi that's at step 2 of 3
2. 確認する visual progress indicator
3. 確認する due date displayed alongside progress</t>
        </is>
      </c>
      <c r="G83" s="13" t="inlineStr">
        <is>
          <t>進捗バーに現在の段階が表示される (e.g., '2/3 complete'). 進捗の近くに期限が表示される.</t>
        </is>
      </c>
      <c r="H83" s="9" t="inlineStr">
        <is>
          <t>P2</t>
        </is>
      </c>
      <c r="I83" s="10" t="inlineStr">
        <is>
          <t>未実装</t>
        </is>
      </c>
      <c r="J83" s="13" t="inlineStr">
        <is>
          <t>リアルなプログレスバーなし。タイムラインは視覚的なプレースホルダーのみ。</t>
        </is>
      </c>
      <c r="K83" s="13" t="inlineStr">
        <is>
          <t>https://eb-filemg-development.vercel.app</t>
        </is>
      </c>
      <c r="L83" s="7" t="inlineStr">
        <is>
          <t>N/A</t>
        </is>
      </c>
      <c r="M83" s="8" t="n"/>
      <c r="N83" s="8" t="n"/>
      <c r="O83" s="13" t="inlineStr">
        <is>
          <t>Spec 9 (UI/UX)
→ "承認カードに主要項目を表示 (件名、金額、取引先、期限) とボタン. 進捗バーと期限の表示."</t>
        </is>
      </c>
      <c r="P83" s="3" t="n"/>
      <c r="Q83" s="3" t="n"/>
      <c r="R83" s="3" t="n"/>
      <c r="S83" s="3" t="n"/>
      <c r="T83" s="3" t="n"/>
      <c r="U83" s="3" t="n"/>
      <c r="V83" s="3" t="n"/>
      <c r="W83" s="3" t="n"/>
      <c r="X83" s="3" t="n"/>
      <c r="Y83" s="3" t="n"/>
      <c r="Z83" s="3" t="n"/>
    </row>
    <row r="84">
      <c r="A84" s="13" t="inlineStr">
        <is>
          <t>TC-UIX-004</t>
        </is>
      </c>
      <c r="B84" s="13" t="inlineStr">
        <is>
          <t>UI/UX</t>
        </is>
      </c>
      <c r="C84" s="13" t="inlineStr">
        <is>
          <t>プレビュー</t>
        </is>
      </c>
      <c r="D84" s="13" t="inlineStr">
        <is>
          <t>PDF/画像添付のインラインプレビュー</t>
        </is>
      </c>
      <c r="E84" s="13" t="inlineStr">
        <is>
          <t>PDFと画像の添付付き稟議が存在</t>
        </is>
      </c>
      <c r="F84" s="13" t="inlineStr">
        <is>
          <t>1. に移動する ringi detail page
2. Click on PDF attachment
3. 確認する PDF previews inline or in overlay
4. Click on image attachment
5. 確認する image previews inline</t>
        </is>
      </c>
      <c r="G84" s="13" t="inlineStr">
        <is>
          <t>ダウンロードなしでPDFと画像のアプリ内プレビュー. 各添付にバージョン番号が表示される.</t>
        </is>
      </c>
      <c r="H84" s="9" t="inlineStr">
        <is>
          <t>P2</t>
        </is>
      </c>
      <c r="I84" s="12" t="inlineStr">
        <is>
          <t>一部実装</t>
        </is>
      </c>
      <c r="J84" s="13" t="inlineStr">
        <is>
          <t>ダウンロードリンク付きファイルカードあり。アプリ内プレビューなし。バージョン表示なし。</t>
        </is>
      </c>
      <c r="K84" s="13" t="inlineStr">
        <is>
          <t>https://eb-filemg-development.vercel.app</t>
        </is>
      </c>
      <c r="L84" s="7" t="inlineStr">
        <is>
          <t>N/A</t>
        </is>
      </c>
      <c r="M84" s="8" t="n"/>
      <c r="N84" s="8" t="n"/>
      <c r="O84" s="13" t="inlineStr">
        <is>
          <t>Spec 9 (UI/UX)
→ "添付ファイルプレビュー (PDF/image) and version display. モバイル対応の承認操作."</t>
        </is>
      </c>
      <c r="P84" s="3" t="n"/>
      <c r="Q84" s="3" t="n"/>
      <c r="R84" s="3" t="n"/>
      <c r="S84" s="3" t="n"/>
      <c r="T84" s="3" t="n"/>
      <c r="U84" s="3" t="n"/>
      <c r="V84" s="3" t="n"/>
      <c r="W84" s="3" t="n"/>
      <c r="X84" s="3" t="n"/>
      <c r="Y84" s="3" t="n"/>
      <c r="Z84" s="3" t="n"/>
    </row>
    <row r="85">
      <c r="A85" s="13" t="inlineStr">
        <is>
          <t>TC-UIX-005</t>
        </is>
      </c>
      <c r="B85" s="13" t="inlineStr">
        <is>
          <t>UI/UX</t>
        </is>
      </c>
      <c r="C85" s="13" t="inlineStr">
        <is>
          <t>モバイル</t>
        </is>
      </c>
      <c r="D85" s="13" t="inlineStr">
        <is>
          <t>モバイルでの承認操作</t>
        </is>
      </c>
      <c r="E85" s="13" t="inlineStr">
        <is>
          <t>モバイルデバイスまたはレスポンシブビュー（&lt;1024px）</t>
        </is>
      </c>
      <c r="F85" s="13" t="inlineStr">
        <is>
          <t>1. Open app on mobile browser or resize to mobile width
2. 保留中の稟議に移動する
3. View detail page
4. Tap Approve/Reject buttons
5. 確認する all actions complete on mobile</t>
        </is>
      </c>
      <c r="G85" s="13" t="inlineStr">
        <is>
          <t>全承認操作がモバイルで機能する. タッチ操作対応ボタン. レスポンシブレイアウト.</t>
        </is>
      </c>
      <c r="H85" s="9" t="inlineStr">
        <is>
          <t>P2</t>
        </is>
      </c>
      <c r="I85" s="12" t="inlineStr">
        <is>
          <t>一部実装</t>
        </is>
      </c>
      <c r="J85" s="13" t="inlineStr">
        <is>
          <t>レスポンシブレイアウトあり（モバイルメニュー、折り畳みサイドバー）。仕様に基づく個別テスト/最適化はされていない。</t>
        </is>
      </c>
      <c r="K85" s="13" t="inlineStr">
        <is>
          <t>https://eb-filemg-development.vercel.app</t>
        </is>
      </c>
      <c r="L85" s="7" t="inlineStr">
        <is>
          <t>N/A</t>
        </is>
      </c>
      <c r="M85" s="8" t="n"/>
      <c r="N85" s="8" t="n"/>
      <c r="O85" s="13" t="inlineStr">
        <is>
          <t>Spec 9 (UI/UX)
→ "添付ファイルプレビュー (PDF/image) and version display. モバイル対応の承認操作."</t>
        </is>
      </c>
      <c r="P85" s="3" t="n"/>
      <c r="Q85" s="3" t="n"/>
      <c r="R85" s="3" t="n"/>
      <c r="S85" s="3" t="n"/>
      <c r="T85" s="3" t="n"/>
      <c r="U85" s="3" t="n"/>
      <c r="V85" s="3" t="n"/>
      <c r="W85" s="3" t="n"/>
      <c r="X85" s="3" t="n"/>
      <c r="Y85" s="3" t="n"/>
      <c r="Z85" s="3" t="n"/>
    </row>
    <row r="86">
      <c r="A86" s="13" t="inlineStr">
        <is>
          <t>TC-UIX-006</t>
        </is>
      </c>
      <c r="B86" s="13" t="inlineStr">
        <is>
          <t>UI/UX</t>
        </is>
      </c>
      <c r="C86" s="13" t="inlineStr">
        <is>
          <t>アクセシビリティ</t>
        </is>
      </c>
      <c r="D86" s="13" t="inlineStr">
        <is>
          <t>キーボードナビゲーション対応</t>
        </is>
      </c>
      <c r="E86" s="13" t="inlineStr">
        <is>
          <t>キーボードのみで操作（マウスなし）</t>
        </is>
      </c>
      <c r="F86" s="13" t="inlineStr">
        <is>
          <t>1. ダッシュボードに移動する using Tab key
2. Select a ringi with Enter
3. Navigate through detail page with Tab
4. Trigger approve action with keyboard
5. Submit with Enter</t>
        </is>
      </c>
      <c r="G86" s="13" t="inlineStr">
        <is>
          <t>全操作要素にキーボードでアクセス可能. フォーカスインジケーターが表示される. 論理的なタブ順序.</t>
        </is>
      </c>
      <c r="H86" s="11" t="inlineStr">
        <is>
          <t>P3</t>
        </is>
      </c>
      <c r="I86" s="12" t="inlineStr">
        <is>
          <t>一部実装</t>
        </is>
      </c>
      <c r="J86" s="13" t="inlineStr">
        <is>
          <t>shadcn/uiは組み込みa11yあり。カスタムコンポーネントは完全なキーボードナビゲーション対応でない可能性。</t>
        </is>
      </c>
      <c r="K86" s="13" t="inlineStr">
        <is>
          <t>https://eb-filemg-development.vercel.app</t>
        </is>
      </c>
      <c r="L86" s="7" t="inlineStr">
        <is>
          <t>N/A</t>
        </is>
      </c>
      <c r="M86" s="8" t="n"/>
      <c r="N86" s="8" t="n"/>
      <c r="O86" s="13" t="inlineStr">
        <is>
          <t>Spec 9 (UI/UX)
→ "アクセシビリティ: キーボード操作、色覚対応デザイン、明確なエラーメッセージ."</t>
        </is>
      </c>
      <c r="P86" s="3" t="n"/>
      <c r="Q86" s="3" t="n"/>
      <c r="R86" s="3" t="n"/>
      <c r="S86" s="3" t="n"/>
      <c r="T86" s="3" t="n"/>
      <c r="U86" s="3" t="n"/>
      <c r="V86" s="3" t="n"/>
      <c r="W86" s="3" t="n"/>
      <c r="X86" s="3" t="n"/>
      <c r="Y86" s="3" t="n"/>
      <c r="Z86" s="3" t="n"/>
    </row>
    <row r="87">
      <c r="A87" s="13" t="inlineStr">
        <is>
          <t>TC-UIX-007</t>
        </is>
      </c>
      <c r="B87" s="13" t="inlineStr">
        <is>
          <t>UI/UX</t>
        </is>
      </c>
      <c r="C87" s="13" t="inlineStr">
        <is>
          <t>アクセシビリティ</t>
        </is>
      </c>
      <c r="D87" s="13" t="inlineStr">
        <is>
          <t>色覚多様性対応の配色</t>
        </is>
      </c>
      <c r="E87" s="13" t="inlineStr">
        <is>
          <t>色覚多様性のあるユーザー</t>
        </is>
      </c>
      <c r="F87" s="13" t="inlineStr">
        <is>
          <t>1. Review status badges, buttons, and indicators
2. 確認する colors not sole differentiator (icons/text also used)
3. コントラスト比を確認 meet WCAG standards</t>
        </is>
      </c>
      <c r="G87" s="13" t="inlineStr">
        <is>
          <t>ステータスインジケーターに色に加えてアイコン＋テキストを使用. 十分なコントラスト比. アクセシブル.</t>
        </is>
      </c>
      <c r="H87" s="11" t="inlineStr">
        <is>
          <t>P3</t>
        </is>
      </c>
      <c r="I87" s="12" t="inlineStr">
        <is>
          <t>一部実装</t>
        </is>
      </c>
      <c r="J87" s="13" t="inlineStr">
        <is>
          <t>ステータスバッジに色と併せてアイコン（チェックマーク、X、時計、警告）を使用。正式なWCAGテストはされていない。</t>
        </is>
      </c>
      <c r="K87" s="13" t="inlineStr">
        <is>
          <t>https://eb-filemg-development.vercel.app</t>
        </is>
      </c>
      <c r="L87" s="7" t="inlineStr">
        <is>
          <t>N/A</t>
        </is>
      </c>
      <c r="M87" s="8" t="n"/>
      <c r="N87" s="8" t="n"/>
      <c r="O87" s="13" t="inlineStr">
        <is>
          <t>Spec 9 (UI/UX)
→ "アクセシビリティ: キーボード操作、色覚対応デザイン、明確なエラーメッセージ."</t>
        </is>
      </c>
      <c r="P87" s="3" t="n"/>
      <c r="Q87" s="3" t="n"/>
      <c r="R87" s="3" t="n"/>
      <c r="S87" s="3" t="n"/>
      <c r="T87" s="3" t="n"/>
      <c r="U87" s="3" t="n"/>
      <c r="V87" s="3" t="n"/>
      <c r="W87" s="3" t="n"/>
      <c r="X87" s="3" t="n"/>
      <c r="Y87" s="3" t="n"/>
      <c r="Z87" s="3" t="n"/>
    </row>
    <row r="88">
      <c r="A88" s="13" t="inlineStr">
        <is>
          <t>TC-UIX-008</t>
        </is>
      </c>
      <c r="B88" s="13" t="inlineStr">
        <is>
          <t>UI/UX</t>
        </is>
      </c>
      <c r="C88" s="13" t="inlineStr">
        <is>
          <t>多言語対応</t>
        </is>
      </c>
      <c r="D88" s="13" t="inlineStr">
        <is>
          <t>日本語/英語の言語切替確認</t>
        </is>
      </c>
      <c r="E88" s="13" t="inlineStr">
        <is>
          <t>アプリの任意のページにいるユーザー</t>
        </is>
      </c>
      <c r="F88" s="13" t="inlineStr">
        <is>
          <t>1. ダッシュボードに移動する
2. ナビバーの言語切替をクリック (EN -&gt; JA)
3. 確認する ALL labels switch to Japanese
4. 元に戻す (JA -&gt; EN)
5. 確認する all labels switch to English
6. 確認するm validation messages also translated</t>
        </is>
      </c>
      <c r="G88" s="13" t="inlineStr">
        <is>
          <t>全UIテキストが正しく切り替わる. 未翻訳の文字列がない. バリデーションメッセージも翻訳される.</t>
        </is>
      </c>
      <c r="H88" s="5" t="inlineStr">
        <is>
          <t>P1</t>
        </is>
      </c>
      <c r="I88" s="6" t="inlineStr">
        <is>
          <t>実装済み</t>
        </is>
      </c>
      <c r="J88" s="13" t="inlineStr">
        <is>
          <t>2100以上の翻訳キー。t()関数を持つLanguageProvider。</t>
        </is>
      </c>
      <c r="K88" s="13" t="inlineStr">
        <is>
          <t>https://eb-filemg-development.vercel.app</t>
        </is>
      </c>
      <c r="L88" s="7" t="inlineStr">
        <is>
          <t>N/A</t>
        </is>
      </c>
      <c r="M88" s="8" t="n"/>
      <c r="N88" s="8" t="n"/>
      <c r="O88" s="13" t="inlineStr">
        <is>
          <t>仕様書9（UI/UX）</t>
        </is>
      </c>
      <c r="P88" s="3" t="n"/>
      <c r="Q88" s="3" t="n"/>
      <c r="R88" s="3" t="n"/>
      <c r="S88" s="3" t="n"/>
      <c r="T88" s="3" t="n"/>
      <c r="U88" s="3" t="n"/>
      <c r="V88" s="3" t="n"/>
      <c r="W88" s="3" t="n"/>
      <c r="X88" s="3" t="n"/>
      <c r="Y88" s="3" t="n"/>
      <c r="Z88" s="3" t="n"/>
    </row>
    <row r="89">
      <c r="A89" s="13" t="inlineStr">
        <is>
          <t>TC-NFR-001</t>
        </is>
      </c>
      <c r="B89" s="13" t="inlineStr">
        <is>
          <t>非機能</t>
        </is>
      </c>
      <c r="C89" s="13" t="inlineStr">
        <is>
          <t>パフォーマンス</t>
        </is>
      </c>
      <c r="D89" s="13" t="inlineStr">
        <is>
          <t>承認操作が3秒以内に応答</t>
        </is>
      </c>
      <c r="E89" s="13" t="inlineStr">
        <is>
          <t>通常負荷のシステム</t>
        </is>
      </c>
      <c r="F89" s="13" t="inlineStr">
        <is>
          <t>1. Submit an approval action (approve/reject)
2. 応答時間を測定 from click to confirmation toast
3. 5回繰り返す with different ringi
4. 平均応答時間を計算</t>
        </is>
      </c>
      <c r="G89" s="13" t="inlineStr">
        <is>
          <t>承認操作の平均応答時間が3秒未満 per spec section 7.</t>
        </is>
      </c>
      <c r="H89" s="9" t="inlineStr">
        <is>
          <t>P2</t>
        </is>
      </c>
      <c r="I89" s="12" t="inlineStr">
        <is>
          <t>一部実装</t>
        </is>
      </c>
      <c r="J89" s="13" t="inlineStr">
        <is>
          <t>サーバーアクションは高速に実行。正式なパフォーマンスベンチマークはされていない。</t>
        </is>
      </c>
      <c r="K89" s="13" t="inlineStr">
        <is>
          <t>https://eb-filemg-development.vercel.app</t>
        </is>
      </c>
      <c r="L89" s="7" t="inlineStr">
        <is>
          <t>N/A</t>
        </is>
      </c>
      <c r="M89" s="8" t="n"/>
      <c r="N89" s="8" t="n"/>
      <c r="O89" s="13" t="inlineStr">
        <is>
          <t>Spec 10 (非機能)
→ "承認操作は3秒以内、検索は5秒以内の応答."</t>
        </is>
      </c>
      <c r="P89" s="3" t="n"/>
      <c r="Q89" s="3" t="n"/>
      <c r="R89" s="3" t="n"/>
      <c r="S89" s="3" t="n"/>
      <c r="T89" s="3" t="n"/>
      <c r="U89" s="3" t="n"/>
      <c r="V89" s="3" t="n"/>
      <c r="W89" s="3" t="n"/>
      <c r="X89" s="3" t="n"/>
      <c r="Y89" s="3" t="n"/>
      <c r="Z89" s="3" t="n"/>
    </row>
    <row r="90">
      <c r="A90" s="13" t="inlineStr">
        <is>
          <t>TC-NFR-002</t>
        </is>
      </c>
      <c r="B90" s="13" t="inlineStr">
        <is>
          <t>非機能</t>
        </is>
      </c>
      <c r="C90" s="13" t="inlineStr">
        <is>
          <t>パフォーマンス</t>
        </is>
      </c>
      <c r="D90" s="13" t="inlineStr">
        <is>
          <t>検索が5秒以内に応答</t>
        </is>
      </c>
      <c r="E90" s="13" t="inlineStr">
        <is>
          <t>大量の稟議データ（50件以上）</t>
        </is>
      </c>
      <c r="F90" s="13" t="inlineStr">
        <is>
          <t>1. ダッシュボードで検索クエリを入力
2. 表示時間を測定 filtered results
3. Test with various filter combinations
4. 確認する &lt; 5 second response</t>
        </is>
      </c>
      <c r="G90" s="13" t="inlineStr">
        <is>
          <t>検索結果が5秒以内に表示される even with complex filters and large dataset.</t>
        </is>
      </c>
      <c r="H90" s="9" t="inlineStr">
        <is>
          <t>P2</t>
        </is>
      </c>
      <c r="I90" s="12" t="inlineStr">
        <is>
          <t>一部実装</t>
        </is>
      </c>
      <c r="J90" s="13" t="inlineStr">
        <is>
          <t>検索はクライアントサイドフィルタリング。パフォーマンスはデータセットサイズに依存。</t>
        </is>
      </c>
      <c r="K90" s="13" t="inlineStr">
        <is>
          <t>https://eb-filemg-development.vercel.app</t>
        </is>
      </c>
      <c r="L90" s="7" t="inlineStr">
        <is>
          <t>N/A</t>
        </is>
      </c>
      <c r="M90" s="8" t="n"/>
      <c r="N90" s="8" t="n"/>
      <c r="O90" s="13" t="inlineStr">
        <is>
          <t>Spec 10 (非機能)
→ "承認操作は3秒以内、検索は5秒以内の応答."</t>
        </is>
      </c>
      <c r="P90" s="3" t="n"/>
      <c r="Q90" s="3" t="n"/>
      <c r="R90" s="3" t="n"/>
      <c r="S90" s="3" t="n"/>
      <c r="T90" s="3" t="n"/>
      <c r="U90" s="3" t="n"/>
      <c r="V90" s="3" t="n"/>
      <c r="W90" s="3" t="n"/>
      <c r="X90" s="3" t="n"/>
      <c r="Y90" s="3" t="n"/>
      <c r="Z90" s="3" t="n"/>
    </row>
    <row r="91">
      <c r="A91" s="13" t="inlineStr">
        <is>
          <t>TC-NFR-003</t>
        </is>
      </c>
      <c r="B91" s="13" t="inlineStr">
        <is>
          <t>非機能</t>
        </is>
      </c>
      <c r="C91" s="13" t="inlineStr">
        <is>
          <t>セキュリティ</t>
        </is>
      </c>
      <c r="D91" s="13" t="inlineStr">
        <is>
          <t>TLS 1.2以上の強制</t>
        </is>
      </c>
      <c r="E91" s="13" t="inlineStr">
        <is>
          <t>アプリケーションURLにアクセス</t>
        </is>
      </c>
      <c r="F91" s="13" t="inlineStr">
        <is>
          <t>1. Access https://eb-filemg-development.vercel.app
2. ブラウザ開発ツールでTLSバージョンを確認 (Security tab)
3. 確認する certificate is valid
4. 確認する mixed content warnings</t>
        </is>
      </c>
      <c r="G91" s="13" t="inlineStr">
        <is>
          <t>TLS 1.2以上が強制される. 有効なSSL証明書. 混合コンテンツ警告がない.</t>
        </is>
      </c>
      <c r="H91" s="5" t="inlineStr">
        <is>
          <t>P1</t>
        </is>
      </c>
      <c r="I91" s="6" t="inlineStr">
        <is>
          <t>実装済み</t>
        </is>
      </c>
      <c r="J91" s="13" t="inlineStr">
        <is>
          <t>VercelはデフォルトでTLS 1.2以上を強制。</t>
        </is>
      </c>
      <c r="K91" s="13" t="inlineStr">
        <is>
          <t>https://eb-filemg-development.vercel.app</t>
        </is>
      </c>
      <c r="L91" s="7" t="inlineStr">
        <is>
          <t>N/A</t>
        </is>
      </c>
      <c r="M91" s="8" t="n"/>
      <c r="N91" s="8" t="n"/>
      <c r="O91" s="13" t="inlineStr">
        <is>
          <t>Spec 10 (非機能)
→ "TLS 1.2以上、SSO、機密タグによる閲覧制御、添付ハッシュ保存."</t>
        </is>
      </c>
      <c r="P91" s="3" t="n"/>
      <c r="Q91" s="3" t="n"/>
      <c r="R91" s="3" t="n"/>
      <c r="S91" s="3" t="n"/>
      <c r="T91" s="3" t="n"/>
      <c r="U91" s="3" t="n"/>
      <c r="V91" s="3" t="n"/>
      <c r="W91" s="3" t="n"/>
      <c r="X91" s="3" t="n"/>
      <c r="Y91" s="3" t="n"/>
      <c r="Z91" s="3" t="n"/>
    </row>
    <row r="92">
      <c r="A92" s="13" t="inlineStr">
        <is>
          <t>TC-NFR-004</t>
        </is>
      </c>
      <c r="B92" s="13" t="inlineStr">
        <is>
          <t>非機能</t>
        </is>
      </c>
      <c r="C92" s="13" t="inlineStr">
        <is>
          <t>信頼性</t>
        </is>
      </c>
      <c r="D92" s="13" t="inlineStr">
        <is>
          <t>べき等性による重複申請の防止</t>
        </is>
      </c>
      <c r="E92" s="13" t="inlineStr">
        <is>
          <t>申請フォームにいるユーザー</t>
        </is>
      </c>
      <c r="F92" s="13" t="inlineStr">
        <is>
          <t>1. Fill out ringi form completely
2. 送信ボタンを素早く2回クリック
3. 確認する duplicate ringi was created</t>
        </is>
      </c>
      <c r="G92" s="13" t="inlineStr">
        <is>
          <t>稟議が1つのみ作成される. 2回目のクリックがブロックされるか (button disabled) べき等キーにより重複排除される.</t>
        </is>
      </c>
      <c r="H92" s="9" t="inlineStr">
        <is>
          <t>P2</t>
        </is>
      </c>
      <c r="I92" s="10" t="inlineStr">
        <is>
          <t>未実装</t>
        </is>
      </c>
      <c r="J92" s="13" t="inlineStr">
        <is>
          <t>べき等キーメカニズムなし。仕様書セクション7で必要。</t>
        </is>
      </c>
      <c r="K92" s="13" t="inlineStr">
        <is>
          <t>https://eb-filemg-development.vercel.app</t>
        </is>
      </c>
      <c r="L92" s="7" t="inlineStr">
        <is>
          <t>N/A</t>
        </is>
      </c>
      <c r="M92" s="8" t="n"/>
      <c r="N92" s="8" t="n"/>
      <c r="O92" s="13" t="inlineStr">
        <is>
          <t>Spec 10 (非機能)
→ "重複排除のためのべき等キー."</t>
        </is>
      </c>
      <c r="P92" s="3" t="n"/>
      <c r="Q92" s="3" t="n"/>
      <c r="R92" s="3" t="n"/>
      <c r="S92" s="3" t="n"/>
      <c r="T92" s="3" t="n"/>
      <c r="U92" s="3" t="n"/>
      <c r="V92" s="3" t="n"/>
      <c r="W92" s="3" t="n"/>
      <c r="X92" s="3" t="n"/>
      <c r="Y92" s="3" t="n"/>
      <c r="Z92" s="3" t="n"/>
    </row>
    <row r="93">
      <c r="A93" s="13" t="inlineStr">
        <is>
          <t>TC-NFR-005</t>
        </is>
      </c>
      <c r="B93" s="13" t="inlineStr">
        <is>
          <t>非機能</t>
        </is>
      </c>
      <c r="C93" s="13" t="inlineStr">
        <is>
          <t>信頼性</t>
        </is>
      </c>
      <c r="D93" s="13" t="inlineStr">
        <is>
          <t>障害時のキュー永続化とリトライ</t>
        </is>
      </c>
      <c r="E93" s="13" t="inlineStr">
        <is>
          <t>申請中にバックエンドの一時的な障害が発生</t>
        </is>
      </c>
      <c r="F93" s="13" t="inlineStr">
        <is>
          <t>1. Submit ringi during simulated backend issue
2. 確認する operation is queued
3. After backend recovery, verify operation completes with backoff retry</t>
        </is>
      </c>
      <c r="G93" s="13" t="inlineStr">
        <is>
          <t>操作がキューに入りバックオフ戦略でリトライされる. 一時的な障害でのデータ損失なし.</t>
        </is>
      </c>
      <c r="H93" s="9" t="inlineStr">
        <is>
          <t>P2</t>
        </is>
      </c>
      <c r="I93" s="10" t="inlineStr">
        <is>
          <t>未実装</t>
        </is>
      </c>
      <c r="J93" s="13" t="inlineStr">
        <is>
          <t>キュー/ジョブシステムなし。リトライ機構なし。仕様書セクション7でキュー永続化が必要。</t>
        </is>
      </c>
      <c r="K93" s="13" t="inlineStr">
        <is>
          <t>https://eb-filemg-development.vercel.app</t>
        </is>
      </c>
      <c r="L93" s="7" t="inlineStr">
        <is>
          <t>N/A</t>
        </is>
      </c>
      <c r="M93" s="8" t="n"/>
      <c r="N93" s="8" t="n"/>
      <c r="O93" s="13" t="inlineStr">
        <is>
          <t>Spec 10 (非機能)
→ "障害時のキュー保持とバックオフリトライ."</t>
        </is>
      </c>
      <c r="P93" s="3" t="n"/>
      <c r="Q93" s="3" t="n"/>
      <c r="R93" s="3" t="n"/>
      <c r="S93" s="3" t="n"/>
      <c r="T93" s="3" t="n"/>
      <c r="U93" s="3" t="n"/>
      <c r="V93" s="3" t="n"/>
      <c r="W93" s="3" t="n"/>
      <c r="X93" s="3" t="n"/>
      <c r="Y93" s="3" t="n"/>
      <c r="Z93" s="3" t="n"/>
    </row>
    <row r="94">
      <c r="A94" s="13" t="inlineStr">
        <is>
          <t>TC-NFR-006</t>
        </is>
      </c>
      <c r="B94" s="13" t="inlineStr">
        <is>
          <t>非機能</t>
        </is>
      </c>
      <c r="C94" s="13" t="inlineStr">
        <is>
          <t>データ保持</t>
        </is>
      </c>
      <c r="D94" s="13" t="inlineStr">
        <is>
          <t>7年間のデータ保持ポリシー</t>
        </is>
      </c>
      <c r="E94" s="13" t="inlineStr">
        <is>
          <t>システムに古い稟議データ（1年以上）が存在</t>
        </is>
      </c>
      <c r="F94" s="13" t="inlineStr">
        <is>
          <t>1. Check data retention policy configuration
2. 確認する old records are retained (not auto-deleted)
3. 確認する export API can access old data
4. Check retention period is configurable</t>
        </is>
      </c>
      <c r="G94" s="13" t="inlineStr">
        <is>
          <t>データが最低7年間保持される (default). 設定可能な保持期間. エクスポートAPIが古いレコードでも動作する.</t>
        </is>
      </c>
      <c r="H94" s="11" t="inlineStr">
        <is>
          <t>P3</t>
        </is>
      </c>
      <c r="I94" s="10" t="inlineStr">
        <is>
          <t>未実装</t>
        </is>
      </c>
      <c r="J94" s="13" t="inlineStr">
        <is>
          <t>保持ポリシーやアーカイブ機構なし。仕様書セクション7でデフォルト7年が必要。</t>
        </is>
      </c>
      <c r="K94" s="13" t="inlineStr">
        <is>
          <t>https://eb-filemg-development.vercel.app</t>
        </is>
      </c>
      <c r="L94" s="7" t="inlineStr">
        <is>
          <t>N/A</t>
        </is>
      </c>
      <c r="M94" s="8" t="n"/>
      <c r="N94" s="8" t="n"/>
      <c r="O94" s="13" t="inlineStr">
        <is>
          <t>Spec 10 (非機能)
→ "稟議データ、添付ファイル、監査ログは7年間保持（設定可能）."</t>
        </is>
      </c>
      <c r="P94" s="3" t="n"/>
      <c r="Q94" s="3" t="n"/>
      <c r="R94" s="3" t="n"/>
      <c r="S94" s="3" t="n"/>
      <c r="T94" s="3" t="n"/>
      <c r="U94" s="3" t="n"/>
      <c r="V94" s="3" t="n"/>
      <c r="W94" s="3" t="n"/>
      <c r="X94" s="3" t="n"/>
      <c r="Y94" s="3" t="n"/>
      <c r="Z94" s="3" t="n"/>
    </row>
    <row r="95">
      <c r="A95" s="13" t="inlineStr">
        <is>
          <t>TC-ADM-001</t>
        </is>
      </c>
      <c r="B95" s="13" t="inlineStr">
        <is>
          <t>管理・運用</t>
        </is>
      </c>
      <c r="C95" s="13" t="inlineStr">
        <is>
          <t>ルート管理</t>
        </is>
      </c>
      <c r="D95" s="13" t="inlineStr">
        <is>
          <t>承認ルート管理の管理画面</t>
        </is>
      </c>
      <c r="E95" s="13" t="inlineStr">
        <is>
          <t>スーパー管理者としてログイン済み</t>
        </is>
      </c>
      <c r="F95" s="13" t="inlineStr">
        <is>
          <t>1. /superadminに移動する
2. を探す 'Approval Routes' management section
3. Create a new approval route
4. 既存ルートを編集
5. ルートを削除
6. 変更が新規申請に適用されることを確認</t>
        </is>
      </c>
      <c r="G95" s="13" t="inlineStr">
        <is>
          <t>管理UIで承認ルートのフルCRUD. 変更が新規申請にすぐ適用される.</t>
        </is>
      </c>
      <c r="H95" s="5" t="inlineStr">
        <is>
          <t>P1</t>
        </is>
      </c>
      <c r="I95" s="10" t="inlineStr">
        <is>
          <t>未実装</t>
        </is>
      </c>
      <c r="J95" s="13" t="inlineStr">
        <is>
          <t>承認ルート管理UIなし。スーパー管理者にはユーザー管理とプレースホルダー設定のみ。</t>
        </is>
      </c>
      <c r="K95" s="13" t="inlineStr">
        <is>
          <t>https://eb-filemg-development.vercel.app</t>
        </is>
      </c>
      <c r="L95" s="7" t="inlineStr">
        <is>
          <t>N/A</t>
        </is>
      </c>
      <c r="M95" s="8" t="n"/>
      <c r="N95" s="8" t="n"/>
      <c r="O95" s="13" t="inlineStr">
        <is>
          <t>Spec 6.7 (権限), Spec 6.2 (Routes)
→ "管理画面で承認ルートの編集/CSVインポート. テスト送信でルートを検証."</t>
        </is>
      </c>
      <c r="P95" s="3" t="n"/>
      <c r="Q95" s="3" t="n"/>
      <c r="R95" s="3" t="n"/>
      <c r="S95" s="3" t="n"/>
      <c r="T95" s="3" t="n"/>
      <c r="U95" s="3" t="n"/>
      <c r="V95" s="3" t="n"/>
      <c r="W95" s="3" t="n"/>
      <c r="X95" s="3" t="n"/>
      <c r="Y95" s="3" t="n"/>
      <c r="Z95" s="3" t="n"/>
    </row>
    <row r="96">
      <c r="A96" s="13" t="inlineStr">
        <is>
          <t>TC-ADM-002</t>
        </is>
      </c>
      <c r="B96" s="13" t="inlineStr">
        <is>
          <t>管理・運用</t>
        </is>
      </c>
      <c r="C96" s="13" t="inlineStr">
        <is>
          <t>通知</t>
        </is>
      </c>
      <c r="D96" s="13" t="inlineStr">
        <is>
          <t>管理者が通知チャネルを設定</t>
        </is>
      </c>
      <c r="E96" s="13" t="inlineStr">
        <is>
          <t>管理者としてログイン済み</t>
        </is>
      </c>
      <c r="F96" s="13" t="inlineStr">
        <is>
          <t>1. 管理パネルの通知設定に移動する
2. メールプロバイダーを設定 (SMTP/SES/SendGrid)
3. Slack Webhook/APIを設定
4. Set default notification frequency
5. テスト通知を送信
6. 設定を保存</t>
        </is>
      </c>
      <c r="G96" s="13" t="inlineStr">
        <is>
          <t>通知チャネルが設定可能. テスト通知が送信・受信される. Settings persisted.</t>
        </is>
      </c>
      <c r="H96" s="9" t="inlineStr">
        <is>
          <t>P2</t>
        </is>
      </c>
      <c r="I96" s="10" t="inlineStr">
        <is>
          <t>未実装</t>
        </is>
      </c>
      <c r="J96" s="13" t="inlineStr">
        <is>
          <t>管理画面に通知設定管理なし。</t>
        </is>
      </c>
      <c r="K96" s="13" t="inlineStr">
        <is>
          <t>https://eb-filemg-development.vercel.app</t>
        </is>
      </c>
      <c r="L96" s="7" t="inlineStr">
        <is>
          <t>N/A</t>
        </is>
      </c>
      <c r="M96" s="8" t="n"/>
      <c r="N96" s="8" t="n"/>
      <c r="O96" s="13" t="inlineStr">
        <is>
          <t>Spec 6.7 (権限), Spec 6.2 (Routes)
→ "通知設定の管理（チャネル/頻度）."</t>
        </is>
      </c>
      <c r="P96" s="3" t="n"/>
      <c r="Q96" s="3" t="n"/>
      <c r="R96" s="3" t="n"/>
      <c r="S96" s="3" t="n"/>
      <c r="T96" s="3" t="n"/>
      <c r="U96" s="3" t="n"/>
      <c r="V96" s="3" t="n"/>
      <c r="W96" s="3" t="n"/>
      <c r="X96" s="3" t="n"/>
      <c r="Y96" s="3" t="n"/>
      <c r="Z96" s="3" t="n"/>
    </row>
    <row r="97">
      <c r="A97" s="13" t="inlineStr">
        <is>
          <t>TC-ADM-003</t>
        </is>
      </c>
      <c r="B97" s="13" t="inlineStr">
        <is>
          <t>管理・運用</t>
        </is>
      </c>
      <c r="C97" s="13" t="inlineStr">
        <is>
          <t>メンテナンス</t>
        </is>
      </c>
      <c r="D97" s="13" t="inlineStr">
        <is>
          <t>メンテナンスモードで申請を一時停止</t>
        </is>
      </c>
      <c r="E97" s="13" t="inlineStr">
        <is>
          <t>管理者がメンテナンスモードを有効化</t>
        </is>
      </c>
      <c r="F97" s="13" t="inlineStr">
        <is>
          <t>1. 管理者がメンテナンスモードを有効化 from admin panel
2. User attempts to submit a new ringi
3. 確認する submission is blocked with maintenance notice
4. 確認する existing ringi are viewable (read-only)
5. 管理者がメンテナンスモードを無効化
6. 確認する submissions resume</t>
        </is>
      </c>
      <c r="G97" s="13" t="inlineStr">
        <is>
          <t>メンテナンス中は申請がブロックされる. 明確な通知が表示される. 既存データは閲覧可能. 再開が動作する.</t>
        </is>
      </c>
      <c r="H97" s="11" t="inlineStr">
        <is>
          <t>P3</t>
        </is>
      </c>
      <c r="I97" s="10" t="inlineStr">
        <is>
          <t>未実装</t>
        </is>
      </c>
      <c r="J97" s="13" t="inlineStr">
        <is>
          <t>メンテナンスモード機能なし。</t>
        </is>
      </c>
      <c r="K97" s="13" t="inlineStr">
        <is>
          <t>https://eb-filemg-development.vercel.app</t>
        </is>
      </c>
      <c r="L97" s="7" t="inlineStr">
        <is>
          <t>N/A</t>
        </is>
      </c>
      <c r="M97" s="8" t="n"/>
      <c r="N97" s="8" t="n"/>
      <c r="O97" s="13" t="inlineStr">
        <is>
          <t>Spec 6.7 (権限), Spec 6.2 (Routes)
→ "通知付きで申請を一時停止するメンテナンスモード."</t>
        </is>
      </c>
      <c r="P97" s="3" t="n"/>
      <c r="Q97" s="3" t="n"/>
      <c r="R97" s="3" t="n"/>
      <c r="S97" s="3" t="n"/>
      <c r="T97" s="3" t="n"/>
      <c r="U97" s="3" t="n"/>
      <c r="V97" s="3" t="n"/>
      <c r="W97" s="3" t="n"/>
      <c r="X97" s="3" t="n"/>
      <c r="Y97" s="3" t="n"/>
      <c r="Z97" s="3" t="n"/>
    </row>
    <row r="98">
      <c r="A98" s="13" t="inlineStr">
        <is>
          <t>TC-ADM-004</t>
        </is>
      </c>
      <c r="B98" s="13" t="inlineStr">
        <is>
          <t>管理・運用</t>
        </is>
      </c>
      <c r="C98" s="13" t="inlineStr">
        <is>
          <t>レポート</t>
        </is>
      </c>
      <c r="D98" s="13" t="inlineStr">
        <is>
          <t>定期レポートの自動生成</t>
        </is>
      </c>
      <c r="E98" s="13" t="inlineStr">
        <is>
          <t>レポートスケジュール設定済み（例：週次）</t>
        </is>
      </c>
      <c r="F98" s="13" t="inlineStr">
        <is>
          <t>1. 週次レポートスケジュールを設定 in admin
2. を待つ scheduled report trigger
3. 確認する report generated with: lead time, send-back rate, category stats
4. 確認する report delivered to accounting/internal controls via email</t>
        </is>
      </c>
      <c r="G98" s="13" t="inlineStr">
        <is>
          <t>スケジュールに基づきレポートが自動生成される. 設定された受信者に配信される. 必要な指標を含む.</t>
        </is>
      </c>
      <c r="H98" s="11" t="inlineStr">
        <is>
          <t>P3</t>
        </is>
      </c>
      <c r="I98" s="10" t="inlineStr">
        <is>
          <t>未実装</t>
        </is>
      </c>
      <c r="J98" s="13" t="inlineStr">
        <is>
          <t>自動レポート生成なし。</t>
        </is>
      </c>
      <c r="K98" s="13" t="inlineStr">
        <is>
          <t>https://eb-filemg-development.vercel.app</t>
        </is>
      </c>
      <c r="L98" s="7" t="inlineStr">
        <is>
          <t>N/A</t>
        </is>
      </c>
      <c r="M98" s="8" t="n"/>
      <c r="N98" s="8" t="n"/>
      <c r="O98" s="13" t="inlineStr">
        <is>
          <t>Spec 6.7 (権限), Spec 6.2 (Routes)
→ "定期レポートの自動生成/配信（経理/内部統制）."</t>
        </is>
      </c>
      <c r="P98" s="3" t="n"/>
      <c r="Q98" s="3" t="n"/>
      <c r="R98" s="3" t="n"/>
      <c r="S98" s="3" t="n"/>
      <c r="T98" s="3" t="n"/>
      <c r="U98" s="3" t="n"/>
      <c r="V98" s="3" t="n"/>
      <c r="W98" s="3" t="n"/>
      <c r="X98" s="3" t="n"/>
      <c r="Y98" s="3" t="n"/>
      <c r="Z98" s="3" t="n"/>
    </row>
    <row r="99">
      <c r="A99" s="13" t="inlineStr">
        <is>
          <t>TC-ADM-005</t>
        </is>
      </c>
      <c r="B99" s="13" t="inlineStr">
        <is>
          <t>管理・運用</t>
        </is>
      </c>
      <c r="C99" s="13" t="inlineStr">
        <is>
          <t>バックアップ</t>
        </is>
      </c>
      <c r="D99" s="13" t="inlineStr">
        <is>
          <t>日次バックアップと復旧目標の確認</t>
        </is>
      </c>
      <c r="E99" s="13" t="inlineStr">
        <is>
          <t>データを持つ運用中のシステム</t>
        </is>
      </c>
      <c r="F99" s="13" t="inlineStr">
        <is>
          <t>1. バックアップ設定を確認
2. 確認する last backup timestamp
3. 確認する RPO &lt;= 24 hours
4. 確認する RTO &lt;= 4 hours target documented</t>
        </is>
      </c>
      <c r="G99" s="13" t="inlineStr">
        <is>
          <t>日次バックアップが実行中. RPOが24時間以内. RTOの4時間目標が文書化.</t>
        </is>
      </c>
      <c r="H99" s="11" t="inlineStr">
        <is>
          <t>P3</t>
        </is>
      </c>
      <c r="I99" s="10" t="inlineStr">
        <is>
          <t>未実装</t>
        </is>
      </c>
      <c r="J99" s="13" t="inlineStr">
        <is>
          <t>明示的なバックアップ検証なし。Supabaseがバックアップを提供するが、RPO/RTO目標は未設定。</t>
        </is>
      </c>
      <c r="K99" s="13" t="inlineStr">
        <is>
          <t>https://eb-filemg-development.vercel.app</t>
        </is>
      </c>
      <c r="L99" s="7" t="inlineStr">
        <is>
          <t>N/A</t>
        </is>
      </c>
      <c r="M99" s="8" t="n"/>
      <c r="N99" s="8" t="n"/>
      <c r="O99" s="13" t="inlineStr">
        <is>
          <t>Spec 6.7 (権限), Spec 6.2 (Routes)
→ "日次バックアップ。目標: RPO ≤ 24時間、RTO ≤ 4時間."</t>
        </is>
      </c>
      <c r="P99" s="3" t="n"/>
      <c r="Q99" s="3" t="n"/>
      <c r="R99" s="3" t="n"/>
      <c r="S99" s="3" t="n"/>
      <c r="T99" s="3" t="n"/>
      <c r="U99" s="3" t="n"/>
      <c r="V99" s="3" t="n"/>
      <c r="W99" s="3" t="n"/>
      <c r="X99" s="3" t="n"/>
      <c r="Y99" s="3" t="n"/>
      <c r="Z99" s="3" t="n"/>
    </row>
    <row r="100">
      <c r="A100" s="13" t="inlineStr">
        <is>
          <t>TC-ADM-006</t>
        </is>
      </c>
      <c r="B100" s="13" t="inlineStr">
        <is>
          <t>管理・運用</t>
        </is>
      </c>
      <c r="C100" s="13" t="inlineStr">
        <is>
          <t>ユーザー管理</t>
        </is>
      </c>
      <c r="D100" s="13" t="inlineStr">
        <is>
          <t>管理者がユーザーを管理（承認/却下/ロール編集）</t>
        </is>
      </c>
      <c r="E100" s="13" t="inlineStr">
        <is>
          <t>スーパー管理者としてログイン済み、保留中/アクティブなユーザーが存在</t>
        </is>
      </c>
      <c r="F100" s="13" t="inlineStr">
        <is>
          <t>1. /superadminに移動する/users
2. View pending users list
3. 保留中のユーザーを承認
4. 別の保留中のユーザーを却下
5. アクティブユーザーのロールを変更
6. ユーザーを無効化
7. 確認する activity logs record all changes</t>
        </is>
      </c>
      <c r="G100" s="13" t="inlineStr">
        <is>
          <t>全ユーザー管理操作が動作する. 保留中ユーザーの承認/却下. ロールが変更される. アクティビティがログに記録される.</t>
        </is>
      </c>
      <c r="H100" s="5" t="inlineStr">
        <is>
          <t>P1</t>
        </is>
      </c>
      <c r="I100" s="6" t="inlineStr">
        <is>
          <t>実装済み</t>
        </is>
      </c>
      <c r="J100" s="13" t="inlineStr">
        <is>
          <t>スーパー管理者パネルで招待、承認、却下、編集、削除を含むフルユーザー管理。</t>
        </is>
      </c>
      <c r="K100" s="13" t="inlineStr">
        <is>
          <t>https://eb-filemg-development.vercel.app</t>
        </is>
      </c>
      <c r="L100" s="7" t="inlineStr">
        <is>
          <t>N/A</t>
        </is>
      </c>
      <c r="M100" s="8" t="n"/>
      <c r="N100" s="8" t="n"/>
      <c r="O100" s="13" t="inlineStr">
        <is>
          <t>Spec 6.7 (権限), Spec 6.2 (Routes)
→ "ロールベースアクセス制御: 起案者は自分の申請を編集/閲覧, 承認者は割り当てられた案件を操作, 管理者は全件閲覧し設定変更."</t>
        </is>
      </c>
      <c r="P100" s="3" t="n"/>
      <c r="Q100" s="3" t="n"/>
      <c r="R100" s="3" t="n"/>
      <c r="S100" s="3" t="n"/>
      <c r="T100" s="3" t="n"/>
      <c r="U100" s="3" t="n"/>
      <c r="V100" s="3" t="n"/>
      <c r="W100" s="3" t="n"/>
      <c r="X100" s="3" t="n"/>
      <c r="Y100" s="3" t="n"/>
      <c r="Z100" s="3" t="n"/>
    </row>
    <row r="101">
      <c r="A101" s="13" t="inlineStr">
        <is>
          <t>TC-DAT-001</t>
        </is>
      </c>
      <c r="B101" s="13" t="inlineStr">
        <is>
          <t>データモデル</t>
        </is>
      </c>
      <c r="C101" s="13" t="inlineStr">
        <is>
          <t>フィールド</t>
        </is>
      </c>
      <c r="D101" s="13" t="inlineStr">
        <is>
          <t>仕様書の全データ項目がスキーマに存在するか確認</t>
        </is>
      </c>
      <c r="E101" s="13" t="inlineStr">
        <is>
          <t>データベースアクセスが可能</t>
        </is>
      </c>
      <c r="F101" s="13" t="inlineStr">
        <is>
          <t>1. approval_requestsテーブルスキーマを確認
2. 確認する ALL fields from spec section 8:
   - id, title, category, amount_tax_excl, tax, amount_tax_incl
   - currency, vendor, purpose, start_date, end_date
   - payment_terms, budget_code, project_code
   - requester_id, department, desired_approval_date</t>
        </is>
      </c>
      <c r="G101" s="13" t="inlineStr">
        <is>
          <t>仕様書セクション8の全項目が存在 データベーススキーマに.</t>
        </is>
      </c>
      <c r="H101" s="9" t="inlineStr">
        <is>
          <t>P2</t>
        </is>
      </c>
      <c r="I101" s="12" t="inlineStr">
        <is>
          <t>一部実装</t>
        </is>
      </c>
      <c r="J101" s="13" t="inlineStr">
        <is>
          <t>不足: currency, budget_code, project_code, start_date/end_date（単一の'date'のみ）, desired_approval_date。追加あり: priority, description, remarks。</t>
        </is>
      </c>
      <c r="K101" s="13" t="inlineStr">
        <is>
          <t>https://eb-filemg-development.vercel.app</t>
        </is>
      </c>
      <c r="L101" s="7" t="inlineStr">
        <is>
          <t>N/A</t>
        </is>
      </c>
      <c r="M101" s="8" t="n"/>
      <c r="N101" s="8" t="n"/>
      <c r="O101" s="13" t="inlineStr">
        <is>
          <t>Spec 7 (データモデル)
→ "Ringi: id, title, category, amount_tax_excl, tax, amount_tax_incl, currency, vendor, purpose, start_date, end_date, payment_terms, budget_code, project_code..."</t>
        </is>
      </c>
      <c r="P101" s="3" t="n"/>
      <c r="Q101" s="3" t="n"/>
      <c r="R101" s="3" t="n"/>
      <c r="S101" s="3" t="n"/>
      <c r="T101" s="3" t="n"/>
      <c r="U101" s="3" t="n"/>
      <c r="V101" s="3" t="n"/>
      <c r="W101" s="3" t="n"/>
      <c r="X101" s="3" t="n"/>
      <c r="Y101" s="3" t="n"/>
      <c r="Z101" s="3" t="n"/>
    </row>
    <row r="102">
      <c r="A102" s="13" t="inlineStr">
        <is>
          <t>TC-DAT-002</t>
        </is>
      </c>
      <c r="B102" s="13" t="inlineStr">
        <is>
          <t>データモデル</t>
        </is>
      </c>
      <c r="C102" s="13" t="inlineStr">
        <is>
          <t>状態管理</t>
        </is>
      </c>
      <c r="D102" s="13" t="inlineStr">
        <is>
          <t>状態管理項目がスキーマに存在するか確認</t>
        </is>
      </c>
      <c r="E102" s="13" t="inlineStr">
        <is>
          <t>データベースアクセスが可能</t>
        </is>
      </c>
      <c r="F102" s="13" t="inlineStr">
        <is>
          <t>1. 状態関連のカラムを確認 on approval_requests
2. 確認する: status, step_order, current_approver_ids, next_approver_ids, due_at, escalated_to, rejection_reason, sendback_reason</t>
        </is>
      </c>
      <c r="G102" s="13" t="inlineStr">
        <is>
          <t>全状態管理項目が存在 per spec section 8.</t>
        </is>
      </c>
      <c r="H102" s="9" t="inlineStr">
        <is>
          <t>P2</t>
        </is>
      </c>
      <c r="I102" s="12" t="inlineStr">
        <is>
          <t>一部実装</t>
        </is>
      </c>
      <c r="J102" s="13" t="inlineStr">
        <is>
          <t>'status'のみ存在。不足: step_order, current_approver_ids, next_approver_ids, due_at, escalated_to。理由には共有のapproval_notesを使用。</t>
        </is>
      </c>
      <c r="K102" s="13" t="inlineStr">
        <is>
          <t>https://eb-filemg-development.vercel.app</t>
        </is>
      </c>
      <c r="L102" s="7" t="inlineStr">
        <is>
          <t>N/A</t>
        </is>
      </c>
      <c r="M102" s="8" t="n"/>
      <c r="N102" s="8" t="n"/>
      <c r="O102" s="13" t="inlineStr">
        <is>
          <t>Spec 7 (データモデル)
→ "State: status, step_order, current_approver_ids, next_approver_ids, due_at, escalated_to, rejection_reason, sendback_reason"</t>
        </is>
      </c>
      <c r="P102" s="3" t="n"/>
      <c r="Q102" s="3" t="n"/>
      <c r="R102" s="3" t="n"/>
      <c r="S102" s="3" t="n"/>
      <c r="T102" s="3" t="n"/>
      <c r="U102" s="3" t="n"/>
      <c r="V102" s="3" t="n"/>
      <c r="W102" s="3" t="n"/>
      <c r="X102" s="3" t="n"/>
      <c r="Y102" s="3" t="n"/>
      <c r="Z102" s="3" t="n"/>
    </row>
    <row r="103">
      <c r="A103" s="13" t="inlineStr">
        <is>
          <t>TC-DAT-003</t>
        </is>
      </c>
      <c r="B103" s="13" t="inlineStr">
        <is>
          <t>データモデル</t>
        </is>
      </c>
      <c r="C103" s="13" t="inlineStr">
        <is>
          <t>添付ファイル</t>
        </is>
      </c>
      <c r="D103" s="13" t="inlineStr">
        <is>
          <t>添付ファイルデータモデルの完全性確認</t>
        </is>
      </c>
      <c r="E103" s="13" t="inlineStr">
        <is>
          <t>稟議にドキュメントが添付済み</t>
        </is>
      </c>
      <c r="F103" s="13" t="inlineStr">
        <is>
          <t>1. approval_request_documentsテーブルスキーマを確認
2. 確認する columns: file_id, s3_object_key, hash, version, created_by, created_at</t>
        </is>
      </c>
      <c r="G103" s="13" t="inlineStr">
        <is>
          <t>添付テーブルに仕様書セクション8の全項目が存在 ハッシュとバージョンを含む.</t>
        </is>
      </c>
      <c r="H103" s="9" t="inlineStr">
        <is>
          <t>P2</t>
        </is>
      </c>
      <c r="I103" s="12" t="inlineStr">
        <is>
          <t>一部実装</t>
        </is>
      </c>
      <c r="J103" s="13" t="inlineStr">
        <is>
          <t>結合テーブルあり（id, approval_request_id, document_id, document_url, created_at）。不足: hash, version, created_by。</t>
        </is>
      </c>
      <c r="K103" s="13" t="inlineStr">
        <is>
          <t>https://eb-filemg-development.vercel.app</t>
        </is>
      </c>
      <c r="L103" s="7" t="inlineStr">
        <is>
          <t>N/A</t>
        </is>
      </c>
      <c r="M103" s="8" t="n"/>
      <c r="N103" s="8" t="n"/>
      <c r="O103" s="13" t="inlineStr">
        <is>
          <t>Spec 7 (データモデル)
→ "添付ファイル: file_id, s3_object_key, hash, version, created_by, created_at"</t>
        </is>
      </c>
      <c r="P103" s="3" t="n"/>
      <c r="Q103" s="3" t="n"/>
      <c r="R103" s="3" t="n"/>
      <c r="S103" s="3" t="n"/>
      <c r="T103" s="3" t="n"/>
      <c r="U103" s="3" t="n"/>
      <c r="V103" s="3" t="n"/>
      <c r="W103" s="3" t="n"/>
      <c r="X103" s="3" t="n"/>
      <c r="Y103" s="3" t="n"/>
      <c r="Z103" s="3" t="n"/>
    </row>
    <row r="104">
      <c r="A104" s="13" t="inlineStr">
        <is>
          <t>TC-DAT-004</t>
        </is>
      </c>
      <c r="B104" s="13" t="inlineStr">
        <is>
          <t>データモデル</t>
        </is>
      </c>
      <c r="C104" s="13" t="inlineStr">
        <is>
          <t>監査ログ</t>
        </is>
      </c>
      <c r="D104" s="13" t="inlineStr">
        <is>
          <t>監査ログデータモデルの完全性確認</t>
        </is>
      </c>
      <c r="E104" s="13" t="inlineStr">
        <is>
          <t>システムにアクティビティログが存在</t>
        </is>
      </c>
      <c r="F104" s="13" t="inlineStr">
        <is>
          <t>1. activity_logsテーブルスキーマを確認
2. 確認する columns: actor_id, action, target_type, target_id, diff_json, ip, user_agent, occurred_at</t>
        </is>
      </c>
      <c r="G104" s="13" t="inlineStr">
        <is>
          <t>監査ログテーブルに仕様書セクション8の全項目が存在 IPとユーザーエージェントを含む.</t>
        </is>
      </c>
      <c r="H104" s="9" t="inlineStr">
        <is>
          <t>P2</t>
        </is>
      </c>
      <c r="I104" s="12" t="inlineStr">
        <is>
          <t>一部実装</t>
        </is>
      </c>
      <c r="J104" s="13" t="inlineStr">
        <is>
          <t>あり: user_id, action, entity_type, entity_id, old_values, new_values, metadata, created_at。不足: ip, user_agent。</t>
        </is>
      </c>
      <c r="K104" s="13" t="inlineStr">
        <is>
          <t>https://eb-filemg-development.vercel.app</t>
        </is>
      </c>
      <c r="L104" s="7" t="inlineStr">
        <is>
          <t>N/A</t>
        </is>
      </c>
      <c r="M104" s="8" t="n"/>
      <c r="N104" s="8" t="n"/>
      <c r="O104" s="13" t="inlineStr">
        <is>
          <t>Spec 7 (データモデル)
→ "Auditing: actor_id, action, target_type, target_id, diff_json, ip, user_agent, occurred_at"</t>
        </is>
      </c>
      <c r="P104" s="3" t="n"/>
      <c r="Q104" s="3" t="n"/>
      <c r="R104" s="3" t="n"/>
      <c r="S104" s="3" t="n"/>
      <c r="T104" s="3" t="n"/>
      <c r="U104" s="3" t="n"/>
      <c r="V104" s="3" t="n"/>
      <c r="W104" s="3" t="n"/>
      <c r="X104" s="3" t="n"/>
      <c r="Y104" s="3" t="n"/>
      <c r="Z104" s="3" t="n"/>
    </row>
    <row r="105">
      <c r="A105" s="13" t="inlineStr">
        <is>
          <t>TC-DAT-005</t>
        </is>
      </c>
      <c r="B105" s="13" t="inlineStr">
        <is>
          <t>データモデル</t>
        </is>
      </c>
      <c r="C105" s="13" t="inlineStr">
        <is>
          <t>ベンチマーク</t>
        </is>
      </c>
      <c r="D105" s="13" t="inlineStr">
        <is>
          <t>ベンチマーク参照マッピングテーブルの存在確認</t>
        </is>
      </c>
      <c r="E105" s="13" t="inlineStr">
        <is>
          <t>データベースアクセスが可能</t>
        </is>
      </c>
      <c r="F105" s="13" t="inlineStr">
        <is>
          <t>1. 確認する freee ringi step mapping table
2. 確認する structure contains step IDs, names for gap review</t>
        </is>
      </c>
      <c r="G105" s="13" t="inlineStr">
        <is>
          <t>freeeのステップID/名称を含むマッピングテーブルが存在 ベンチマークギャップレビュー用（外部連携なし）.</t>
        </is>
      </c>
      <c r="H105" s="14" t="inlineStr">
        <is>
          <t>P4</t>
        </is>
      </c>
      <c r="I105" s="10" t="inlineStr">
        <is>
          <t>未実装</t>
        </is>
      </c>
      <c r="J105" s="13" t="inlineStr">
        <is>
          <t>ベンチマーク参照テーブルなし。仕様書セクション8でギャップレビュー用としてのみ言及。</t>
        </is>
      </c>
      <c r="K105" s="13" t="inlineStr">
        <is>
          <t>https://eb-filemg-development.vercel.app</t>
        </is>
      </c>
      <c r="L105" s="7" t="inlineStr">
        <is>
          <t>N/A</t>
        </is>
      </c>
      <c r="M105" s="8" t="n"/>
      <c r="N105" s="8" t="n"/>
      <c r="O105" s="13" t="inlineStr">
        <is>
          <t>Spec 7 (データモデル)
→ "参照ベンチマーク: freeeの稟議ステップID/名称をマッピングテーブルで管理"</t>
        </is>
      </c>
      <c r="P105" s="3" t="n"/>
      <c r="Q105" s="3" t="n"/>
      <c r="R105" s="3" t="n"/>
      <c r="S105" s="3" t="n"/>
      <c r="T105" s="3" t="n"/>
      <c r="U105" s="3" t="n"/>
      <c r="V105" s="3" t="n"/>
      <c r="W105" s="3" t="n"/>
      <c r="X105" s="3" t="n"/>
      <c r="Y105" s="3" t="n"/>
      <c r="Z105" s="3" t="n"/>
    </row>
    <row r="106">
      <c r="A106" s="13" t="inlineStr">
        <is>
          <t>TC-PDF-001</t>
        </is>
      </c>
      <c r="B106" s="13" t="inlineStr">
        <is>
          <t>PDF生成</t>
        </is>
      </c>
      <c r="C106" s="13" t="inlineStr">
        <is>
          <t>完了PDF</t>
        </is>
      </c>
      <c r="D106" s="13" t="inlineStr">
        <is>
          <t>最終承認時に稟議PDFを生成</t>
        </is>
      </c>
      <c r="E106" s="13" t="inlineStr">
        <is>
          <t>全段階で承認完了した稟議</t>
        </is>
      </c>
      <c r="F106" s="13" t="inlineStr">
        <is>
          <t>1. 最終承認を完了 on a ringi
2. 確認する PDF auto-generated
3. PDFをダウンロードして内容を確認 (subject, amount, approvers, dates)
4. 確認する PDF stored in S3 with metadata</t>
        </is>
      </c>
      <c r="G106" s="13" t="inlineStr">
        <is>
          <t>最終承認時にPDFが自動生成される. 稟議概要、全承認詳細を含む. S3に保存.</t>
        </is>
      </c>
      <c r="H106" s="9" t="inlineStr">
        <is>
          <t>P2</t>
        </is>
      </c>
      <c r="I106" s="10" t="inlineStr">
        <is>
          <t>未実装</t>
        </is>
      </c>
      <c r="J106" s="13" t="inlineStr">
        <is>
          <t>PDF生成サービスなし。仕様書セクション5で完了時にPDF + S3保存が必要。</t>
        </is>
      </c>
      <c r="K106" s="13" t="inlineStr">
        <is>
          <t>https://eb-filemg-development.vercel.app</t>
        </is>
      </c>
      <c r="L106" s="7" t="inlineStr">
        <is>
          <t>N/A</t>
        </is>
      </c>
      <c r="M106" s="8" t="n"/>
      <c r="N106" s="8" t="n"/>
      <c r="O106" s="13" t="inlineStr">
        <is>
          <t>Spec 6.3 (承認操作)
→ "完了した稟議のPDFと添付ファイルをメタデータ付きでS3に保存."</t>
        </is>
      </c>
      <c r="P106" s="3" t="n"/>
      <c r="Q106" s="3" t="n"/>
      <c r="R106" s="3" t="n"/>
      <c r="S106" s="3" t="n"/>
      <c r="T106" s="3" t="n"/>
      <c r="U106" s="3" t="n"/>
      <c r="V106" s="3" t="n"/>
      <c r="W106" s="3" t="n"/>
      <c r="X106" s="3" t="n"/>
      <c r="Y106" s="3" t="n"/>
      <c r="Z106" s="3" t="n"/>
    </row>
    <row r="107">
      <c r="A107" s="13" t="inlineStr">
        <is>
          <t>TC-PDF-002</t>
        </is>
      </c>
      <c r="B107" s="13" t="inlineStr">
        <is>
          <t>PDF生成</t>
        </is>
      </c>
      <c r="C107" s="13" t="inlineStr">
        <is>
          <t>PDF内容</t>
        </is>
      </c>
      <c r="D107" s="13" t="inlineStr">
        <is>
          <t>PDFに稟議の完全な情報が含まれるか確認</t>
        </is>
      </c>
      <c r="E107" s="13" t="inlineStr">
        <is>
          <t>承認済み稟議の完了PDFが生成済み</t>
        </is>
      </c>
      <c r="F107" s="13" t="inlineStr">
        <is>
          <t>1. Open generated PDF
2. 確認する it contains: title, category, amount, vendor, purpose, all items
3. 確認する it contains: approval chain with names, dates, comments
4. 確認する attachments list referenced</t>
        </is>
      </c>
      <c r="G107" s="13" t="inlineStr">
        <is>
          <t>PDFに全稟議データ、完全な承認チェーンが含まれる, および添付参照.</t>
        </is>
      </c>
      <c r="H107" s="9" t="inlineStr">
        <is>
          <t>P2</t>
        </is>
      </c>
      <c r="I107" s="10" t="inlineStr">
        <is>
          <t>未実装</t>
        </is>
      </c>
      <c r="J107" s="13" t="inlineStr">
        <is>
          <t>PDF生成サービスなし。</t>
        </is>
      </c>
      <c r="K107" s="13" t="inlineStr">
        <is>
          <t>https://eb-filemg-development.vercel.app</t>
        </is>
      </c>
      <c r="L107" s="7" t="inlineStr">
        <is>
          <t>N/A</t>
        </is>
      </c>
      <c r="M107" s="8" t="n"/>
      <c r="N107" s="8" t="n"/>
      <c r="O107" s="13" t="inlineStr">
        <is>
          <t>Spec 6.3 (承認操作)
→ "完了した稟議のPDFと添付ファイルをメタデータ付きでS3に保存."</t>
        </is>
      </c>
      <c r="P107" s="3" t="n"/>
      <c r="Q107" s="3" t="n"/>
      <c r="R107" s="3" t="n"/>
      <c r="S107" s="3" t="n"/>
      <c r="T107" s="3" t="n"/>
      <c r="U107" s="3" t="n"/>
      <c r="V107" s="3" t="n"/>
      <c r="W107" s="3" t="n"/>
      <c r="X107" s="3" t="n"/>
      <c r="Y107" s="3" t="n"/>
      <c r="Z107" s="3" t="n"/>
    </row>
    <row r="108">
      <c r="A108" s="13" t="inlineStr">
        <is>
          <t>TC-PDF-003</t>
        </is>
      </c>
      <c r="B108" s="13" t="inlineStr">
        <is>
          <t>PDF生成</t>
        </is>
      </c>
      <c r="C108" s="13" t="inlineStr">
        <is>
          <t>S3ストレージ</t>
        </is>
      </c>
      <c r="D108" s="13" t="inlineStr">
        <is>
          <t>PDFがメタデータタグ付きでS3に保存されるか確認</t>
        </is>
      </c>
      <c r="E108" s="13" t="inlineStr">
        <is>
          <t>完了PDFが生成済み</t>
        </is>
      </c>
      <c r="F108" s="13" t="inlineStr">
        <is>
          <t>1. S3バケットで生成されたPDFを確認
2. 確認する metadata tags applied (ringi_id, category, department, approved_date)
3. 確認する S3 object key follows naming convention</t>
        </is>
      </c>
      <c r="G108" s="13" t="inlineStr">
        <is>
          <t>メタデータタグ付きでPDFがS3に保存される. アクセシブル via presigned URL.</t>
        </is>
      </c>
      <c r="H108" s="11" t="inlineStr">
        <is>
          <t>P3</t>
        </is>
      </c>
      <c r="I108" s="10" t="inlineStr">
        <is>
          <t>未実装</t>
        </is>
      </c>
      <c r="J108" s="13" t="inlineStr">
        <is>
          <t>完了PDF用のS3メタデータタグ付けなし。</t>
        </is>
      </c>
      <c r="K108" s="13" t="inlineStr">
        <is>
          <t>https://eb-filemg-development.vercel.app</t>
        </is>
      </c>
      <c r="L108" s="7" t="inlineStr">
        <is>
          <t>N/A</t>
        </is>
      </c>
      <c r="M108" s="8" t="n"/>
      <c r="N108" s="8" t="n"/>
      <c r="O108" s="13" t="inlineStr">
        <is>
          <t>Spec 6.3 (承認操作)
→ "完了した稟議のPDFと添付ファイルをメタデータ付きでS3に保存."</t>
        </is>
      </c>
      <c r="P108" s="3" t="n"/>
      <c r="Q108" s="3" t="n"/>
      <c r="R108" s="3" t="n"/>
      <c r="S108" s="3" t="n"/>
      <c r="T108" s="3" t="n"/>
      <c r="U108" s="3" t="n"/>
      <c r="V108" s="3" t="n"/>
      <c r="W108" s="3" t="n"/>
      <c r="X108" s="3" t="n"/>
      <c r="Y108" s="3" t="n"/>
      <c r="Z108" s="3" t="n"/>
    </row>
  </sheetData>
  <autoFilter ref="$A$1:$O$1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4" customWidth="1" style="54" min="1" max="1"/>
    <col width="10" customWidth="1" style="54" min="2" max="2"/>
    <col width="14" customWidth="1" style="54" min="3" max="3"/>
    <col width="14" customWidth="1" style="54" min="4" max="4"/>
    <col width="12" customWidth="1" style="54" min="5" max="5"/>
    <col width="12" customWidth="1" style="54" min="6" max="6"/>
    <col width="13" customWidth="1" style="54" min="7" max="7"/>
  </cols>
  <sheetData>
    <row r="1">
      <c r="A1" s="55" t="inlineStr">
        <is>
          <t>テストケース — 仕様実装カバレッジ</t>
        </is>
      </c>
    </row>
    <row r="2">
      <c r="A2" s="56" t="inlineStr">
        <is>
          <t>カテゴリ</t>
        </is>
      </c>
      <c r="B2" s="57" t="inlineStr">
        <is>
          <t>合計</t>
        </is>
      </c>
      <c r="C2" s="57" t="inlineStr">
        <is>
          <t>実装済み</t>
        </is>
      </c>
      <c r="D2" s="57" t="inlineStr">
        <is>
          <t>一部実装</t>
        </is>
      </c>
      <c r="E2" s="57" t="inlineStr">
        <is>
          <t>未実装</t>
        </is>
      </c>
      <c r="F2" s="57" t="inlineStr">
        <is>
          <t>カバレッジ %</t>
        </is>
      </c>
    </row>
    <row r="3">
      <c r="A3" s="58" t="inlineStr">
        <is>
          <t>申請</t>
        </is>
      </c>
      <c r="B3" s="59">
        <f>COUNTIF('テストケース'!B:B,A3)</f>
        <v/>
      </c>
      <c r="C3" s="59">
        <f>COUNTIFS('テストケース'!B:B,A3,'テストケース'!I:I,"実装済み")</f>
        <v/>
      </c>
      <c r="D3" s="59">
        <f>COUNTIFS('テストケース'!B:B,A3,'テストケース'!I:I,"一部実装")</f>
        <v/>
      </c>
      <c r="E3" s="59">
        <f>B3-C3-D3</f>
        <v/>
      </c>
      <c r="F3" s="60">
        <f>IF(B3=0,0,(C3+D3*0.5)/B3)</f>
        <v/>
      </c>
    </row>
    <row r="4">
      <c r="A4" s="58" t="inlineStr">
        <is>
          <t>承認ルート</t>
        </is>
      </c>
      <c r="B4" s="59">
        <f>COUNTIF('テストケース'!B:B,A4)</f>
        <v/>
      </c>
      <c r="C4" s="59">
        <f>COUNTIFS('テストケース'!B:B,A4,'テストケース'!I:I,"実装済み")</f>
        <v/>
      </c>
      <c r="D4" s="59">
        <f>COUNTIFS('テストケース'!B:B,A4,'テストケース'!I:I,"一部実装")</f>
        <v/>
      </c>
      <c r="E4" s="59">
        <f>B4-C4-D4</f>
        <v/>
      </c>
      <c r="F4" s="60">
        <f>IF(B4=0,0,(C4+D4*0.5)/B4)</f>
        <v/>
      </c>
    </row>
    <row r="5">
      <c r="A5" s="58" t="inlineStr">
        <is>
          <t>承認操作</t>
        </is>
      </c>
      <c r="B5" s="59">
        <f>COUNTIF('テストケース'!B:B,A5)</f>
        <v/>
      </c>
      <c r="C5" s="59">
        <f>COUNTIFS('テストケース'!B:B,A5,'テストケース'!I:I,"実装済み")</f>
        <v/>
      </c>
      <c r="D5" s="59">
        <f>COUNTIFS('テストケース'!B:B,A5,'テストケース'!I:I,"一部実装")</f>
        <v/>
      </c>
      <c r="E5" s="59">
        <f>B5-C5-D5</f>
        <v/>
      </c>
      <c r="F5" s="60">
        <f>IF(B5=0,0,(C5+D5*0.5)/B5)</f>
        <v/>
      </c>
    </row>
    <row r="6">
      <c r="A6" s="58" t="inlineStr">
        <is>
          <t>通知</t>
        </is>
      </c>
      <c r="B6" s="59">
        <f>COUNTIF('テストケース'!B:B,A6)</f>
        <v/>
      </c>
      <c r="C6" s="59">
        <f>COUNTIFS('テストケース'!B:B,A6,'テストケース'!I:I,"実装済み")</f>
        <v/>
      </c>
      <c r="D6" s="59">
        <f>COUNTIFS('テストケース'!B:B,A6,'テストケース'!I:I,"一部実装")</f>
        <v/>
      </c>
      <c r="E6" s="59">
        <f>B6-C6-D6</f>
        <v/>
      </c>
      <c r="F6" s="60">
        <f>IF(B6=0,0,(C6+D6*0.5)/B6)</f>
        <v/>
      </c>
    </row>
    <row r="7">
      <c r="A7" s="58" t="inlineStr">
        <is>
          <t>検索・参照</t>
        </is>
      </c>
      <c r="B7" s="59">
        <f>COUNTIF('テストケース'!B:B,A7)</f>
        <v/>
      </c>
      <c r="C7" s="59">
        <f>COUNTIFS('テストケース'!B:B,A7,'テストケース'!I:I,"実装済み")</f>
        <v/>
      </c>
      <c r="D7" s="59">
        <f>COUNTIFS('テストケース'!B:B,A7,'テストケース'!I:I,"一部実装")</f>
        <v/>
      </c>
      <c r="E7" s="59">
        <f>B7-C7-D7</f>
        <v/>
      </c>
      <c r="F7" s="60">
        <f>IF(B7=0,0,(C7+D7*0.5)/B7)</f>
        <v/>
      </c>
    </row>
    <row r="8">
      <c r="A8" s="58" t="inlineStr">
        <is>
          <t>レポート</t>
        </is>
      </c>
      <c r="B8" s="59">
        <f>COUNTIF('テストケース'!B:B,A8)</f>
        <v/>
      </c>
      <c r="C8" s="59">
        <f>COUNTIFS('テストケース'!B:B,A8,'テストケース'!I:I,"実装済み")</f>
        <v/>
      </c>
      <c r="D8" s="59">
        <f>COUNTIFS('テストケース'!B:B,A8,'テストケース'!I:I,"一部実装")</f>
        <v/>
      </c>
      <c r="E8" s="59">
        <f>B8-C8-D8</f>
        <v/>
      </c>
      <c r="F8" s="60">
        <f>IF(B8=0,0,(C8+D8*0.5)/B8)</f>
        <v/>
      </c>
    </row>
    <row r="9">
      <c r="A9" s="58" t="inlineStr">
        <is>
          <t>権限・セキュリティ</t>
        </is>
      </c>
      <c r="B9" s="59">
        <f>COUNTIF('テストケース'!B:B,A9)</f>
        <v/>
      </c>
      <c r="C9" s="59">
        <f>COUNTIFS('テストケース'!B:B,A9,'テストケース'!I:I,"実装済み")</f>
        <v/>
      </c>
      <c r="D9" s="59">
        <f>COUNTIFS('テストケース'!B:B,A9,'テストケース'!I:I,"一部実装")</f>
        <v/>
      </c>
      <c r="E9" s="59">
        <f>B9-C9-D9</f>
        <v/>
      </c>
      <c r="F9" s="60">
        <f>IF(B9=0,0,(C9+D9*0.5)/B9)</f>
        <v/>
      </c>
    </row>
    <row r="10">
      <c r="A10" s="58" t="inlineStr">
        <is>
          <t>UI/UX</t>
        </is>
      </c>
      <c r="B10" s="59">
        <f>COUNTIF('テストケース'!B:B,A10)</f>
        <v/>
      </c>
      <c r="C10" s="59">
        <f>COUNTIFS('テストケース'!B:B,A10,'テストケース'!I:I,"実装済み")</f>
        <v/>
      </c>
      <c r="D10" s="59">
        <f>COUNTIFS('テストケース'!B:B,A10,'テストケース'!I:I,"一部実装")</f>
        <v/>
      </c>
      <c r="E10" s="59">
        <f>B10-C10-D10</f>
        <v/>
      </c>
      <c r="F10" s="60">
        <f>IF(B10=0,0,(C10+D10*0.5)/B10)</f>
        <v/>
      </c>
    </row>
    <row r="11">
      <c r="A11" s="58" t="inlineStr">
        <is>
          <t>非機能</t>
        </is>
      </c>
      <c r="B11" s="59">
        <f>COUNTIF('テストケース'!B:B,A11)</f>
        <v/>
      </c>
      <c r="C11" s="59">
        <f>COUNTIFS('テストケース'!B:B,A11,'テストケース'!I:I,"実装済み")</f>
        <v/>
      </c>
      <c r="D11" s="59">
        <f>COUNTIFS('テストケース'!B:B,A11,'テストケース'!I:I,"一部実装")</f>
        <v/>
      </c>
      <c r="E11" s="59">
        <f>B11-C11-D11</f>
        <v/>
      </c>
      <c r="F11" s="60">
        <f>IF(B11=0,0,(C11+D11*0.5)/B11)</f>
        <v/>
      </c>
    </row>
    <row r="12">
      <c r="A12" s="58" t="inlineStr">
        <is>
          <t>管理・運用</t>
        </is>
      </c>
      <c r="B12" s="59">
        <f>COUNTIF('テストケース'!B:B,A12)</f>
        <v/>
      </c>
      <c r="C12" s="59">
        <f>COUNTIFS('テストケース'!B:B,A12,'テストケース'!I:I,"実装済み")</f>
        <v/>
      </c>
      <c r="D12" s="59">
        <f>COUNTIFS('テストケース'!B:B,A12,'テストケース'!I:I,"一部実装")</f>
        <v/>
      </c>
      <c r="E12" s="59">
        <f>B12-C12-D12</f>
        <v/>
      </c>
      <c r="F12" s="60">
        <f>IF(B12=0,0,(C12+D12*0.5)/B12)</f>
        <v/>
      </c>
    </row>
    <row r="13">
      <c r="A13" s="58" t="inlineStr">
        <is>
          <t>データモデル</t>
        </is>
      </c>
      <c r="B13" s="59">
        <f>COUNTIF('テストケース'!B:B,A13)</f>
        <v/>
      </c>
      <c r="C13" s="59">
        <f>COUNTIFS('テストケース'!B:B,A13,'テストケース'!I:I,"実装済み")</f>
        <v/>
      </c>
      <c r="D13" s="59">
        <f>COUNTIFS('テストケース'!B:B,A13,'テストケース'!I:I,"一部実装")</f>
        <v/>
      </c>
      <c r="E13" s="59">
        <f>B13-C13-D13</f>
        <v/>
      </c>
      <c r="F13" s="60">
        <f>IF(B13=0,0,(C13+D13*0.5)/B13)</f>
        <v/>
      </c>
    </row>
    <row r="14">
      <c r="A14" s="58" t="inlineStr">
        <is>
          <t>PDF生成</t>
        </is>
      </c>
      <c r="B14" s="59">
        <f>COUNTIF('テストケース'!B:B,A14)</f>
        <v/>
      </c>
      <c r="C14" s="59">
        <f>COUNTIFS('テストケース'!B:B,A14,'テストケース'!I:I,"実装済み")</f>
        <v/>
      </c>
      <c r="D14" s="59">
        <f>COUNTIFS('テストケース'!B:B,A14,'テストケース'!I:I,"一部実装")</f>
        <v/>
      </c>
      <c r="E14" s="59">
        <f>B14-C14-D14</f>
        <v/>
      </c>
      <c r="F14" s="60">
        <f>IF(B14=0,0,(C14+D14*0.5)/B14)</f>
        <v/>
      </c>
    </row>
    <row r="15">
      <c r="A15" s="61" t="inlineStr">
        <is>
          <t>合計</t>
        </is>
      </c>
      <c r="B15" s="62">
        <f>SUM(B3:B14)</f>
        <v/>
      </c>
      <c r="C15" s="62">
        <f>SUM(C3:C14)</f>
        <v/>
      </c>
      <c r="D15" s="62">
        <f>SUM(D3:D14)</f>
        <v/>
      </c>
      <c r="E15" s="62">
        <f>SUM(E3:E14)</f>
        <v/>
      </c>
      <c r="F15" s="63">
        <f>IF(B15=0,0,(C15+D15*0.5)/B15)</f>
        <v/>
      </c>
    </row>
    <row r="17">
      <c r="A17" s="55" t="inlineStr">
        <is>
          <t>実行可能テストケース — QAテスト結果</t>
        </is>
      </c>
    </row>
    <row r="18">
      <c r="A18" s="56" t="inlineStr">
        <is>
          <t>カテゴリ</t>
        </is>
      </c>
      <c r="B18" s="57" t="inlineStr">
        <is>
          <t>合計</t>
        </is>
      </c>
      <c r="C18" s="57" t="inlineStr">
        <is>
          <t>合格</t>
        </is>
      </c>
      <c r="D18" s="57" t="inlineStr">
        <is>
          <t>一部合格</t>
        </is>
      </c>
      <c r="E18" s="57" t="inlineStr">
        <is>
          <t>不合格</t>
        </is>
      </c>
      <c r="F18" s="57" t="inlineStr">
        <is>
          <t>ブロック</t>
        </is>
      </c>
      <c r="G18" s="57" t="inlineStr">
        <is>
          <t>合格率 %</t>
        </is>
      </c>
    </row>
    <row r="19">
      <c r="A19" s="58" t="inlineStr">
        <is>
          <t>申請</t>
        </is>
      </c>
      <c r="B19" s="59">
        <f>COUNTIF('実行可能テストケース'!B:B,A19)</f>
        <v/>
      </c>
      <c r="C19" s="59">
        <f>COUNTIFS('実行可能テストケース'!B:B,A19,'実行可能テストケース'!K:K,"合格")</f>
        <v/>
      </c>
      <c r="D19" s="59">
        <f>COUNTIFS('実行可能テストケース'!B:B,A19,'実行可能テストケース'!K:K,"一部合格")</f>
        <v/>
      </c>
      <c r="E19" s="59">
        <f>COUNTIFS('実行可能テストケース'!B:B,A19,'実行可能テストケース'!K:K,"不合格")</f>
        <v/>
      </c>
      <c r="F19" s="59">
        <f>COUNTIFS('実行可能テストケース'!B:B,A19,'実行可能テストケース'!K:K,"ブロック")</f>
        <v/>
      </c>
      <c r="G19" s="60">
        <f>IF((B19-F19)=0,0,(C19+D19*0.5)/(B19-F19))</f>
        <v/>
      </c>
    </row>
    <row r="20">
      <c r="A20" s="58" t="inlineStr">
        <is>
          <t>承認</t>
        </is>
      </c>
      <c r="B20" s="59">
        <f>COUNTIF('実行可能テストケース'!B:B,A20)</f>
        <v/>
      </c>
      <c r="C20" s="59">
        <f>COUNTIFS('実行可能テストケース'!B:B,A20,'実行可能テストケース'!K:K,"合格")</f>
        <v/>
      </c>
      <c r="D20" s="59">
        <f>COUNTIFS('実行可能テストケース'!B:B,A20,'実行可能テストケース'!K:K,"一部合格")</f>
        <v/>
      </c>
      <c r="E20" s="59">
        <f>COUNTIFS('実行可能テストケース'!B:B,A20,'実行可能テストケース'!K:K,"不合格")</f>
        <v/>
      </c>
      <c r="F20" s="59">
        <f>COUNTIFS('実行可能テストケース'!B:B,A20,'実行可能テストケース'!K:K,"ブロック")</f>
        <v/>
      </c>
      <c r="G20" s="60">
        <f>IF((B20-F20)=0,0,(C20+D20*0.5)/(B20-F20))</f>
        <v/>
      </c>
    </row>
    <row r="21">
      <c r="A21" s="58" t="inlineStr">
        <is>
          <t>AIチャット</t>
        </is>
      </c>
      <c r="B21" s="59">
        <f>COUNTIF('実行可能テストケース'!B:B,A21)</f>
        <v/>
      </c>
      <c r="C21" s="59">
        <f>COUNTIFS('実行可能テストケース'!B:B,A21,'実行可能テストケース'!K:K,"合格")</f>
        <v/>
      </c>
      <c r="D21" s="59">
        <f>COUNTIFS('実行可能テストケース'!B:B,A21,'実行可能テストケース'!K:K,"一部合格")</f>
        <v/>
      </c>
      <c r="E21" s="59">
        <f>COUNTIFS('実行可能テストケース'!B:B,A21,'実行可能テストケース'!K:K,"不合格")</f>
        <v/>
      </c>
      <c r="F21" s="59">
        <f>COUNTIFS('実行可能テストケース'!B:B,A21,'実行可能テストケース'!K:K,"ブロック")</f>
        <v/>
      </c>
      <c r="G21" s="60">
        <f>IF((B21-F21)=0,0,(C21+D21*0.5)/(B21-F21))</f>
        <v/>
      </c>
    </row>
    <row r="22">
      <c r="A22" s="58" t="inlineStr">
        <is>
          <t>AI検索</t>
        </is>
      </c>
      <c r="B22" s="59">
        <f>COUNTIF('実行可能テストケース'!B:B,A22)</f>
        <v/>
      </c>
      <c r="C22" s="59">
        <f>COUNTIFS('実行可能テストケース'!B:B,A22,'実行可能テストケース'!K:K,"合格")</f>
        <v/>
      </c>
      <c r="D22" s="59">
        <f>COUNTIFS('実行可能テストケース'!B:B,A22,'実行可能テストケース'!K:K,"一部合格")</f>
        <v/>
      </c>
      <c r="E22" s="59">
        <f>COUNTIFS('実行可能テストケース'!B:B,A22,'実行可能テストケース'!K:K,"不合格")</f>
        <v/>
      </c>
      <c r="F22" s="59">
        <f>COUNTIFS('実行可能テストケース'!B:B,A22,'実行可能テストケース'!K:K,"ブロック")</f>
        <v/>
      </c>
      <c r="G22" s="60">
        <f>IF((B22-F22)=0,0,(C22+D22*0.5)/(B22-F22))</f>
        <v/>
      </c>
    </row>
    <row r="23">
      <c r="A23" s="58" t="inlineStr">
        <is>
          <t>ステータス</t>
        </is>
      </c>
      <c r="B23" s="59">
        <f>COUNTIF('実行可能テストケース'!B:B,A23)</f>
        <v/>
      </c>
      <c r="C23" s="59">
        <f>COUNTIFS('実行可能テストケース'!B:B,A23,'実行可能テストケース'!K:K,"合格")</f>
        <v/>
      </c>
      <c r="D23" s="59">
        <f>COUNTIFS('実行可能テストケース'!B:B,A23,'実行可能テストケース'!K:K,"一部合格")</f>
        <v/>
      </c>
      <c r="E23" s="59">
        <f>COUNTIFS('実行可能テストケース'!B:B,A23,'実行可能テストケース'!K:K,"不合格")</f>
        <v/>
      </c>
      <c r="F23" s="59">
        <f>COUNTIFS('実行可能テストケース'!B:B,A23,'実行可能テストケース'!K:K,"ブロック")</f>
        <v/>
      </c>
      <c r="G23" s="60">
        <f>IF((B23-F23)=0,0,(C23+D23*0.5)/(B23-F23))</f>
        <v/>
      </c>
    </row>
    <row r="24">
      <c r="A24" s="58" t="inlineStr">
        <is>
          <t>ユーザーロール</t>
        </is>
      </c>
      <c r="B24" s="59">
        <f>COUNTIF('実行可能テストケース'!B:B,A24)</f>
        <v/>
      </c>
      <c r="C24" s="59">
        <f>COUNTIFS('実行可能テストケース'!B:B,A24,'実行可能テストケース'!K:K,"合格")</f>
        <v/>
      </c>
      <c r="D24" s="59">
        <f>COUNTIFS('実行可能テストケース'!B:B,A24,'実行可能テストケース'!K:K,"一部合格")</f>
        <v/>
      </c>
      <c r="E24" s="59">
        <f>COUNTIFS('実行可能テストケース'!B:B,A24,'実行可能テストケース'!K:K,"不合格")</f>
        <v/>
      </c>
      <c r="F24" s="59">
        <f>COUNTIFS('実行可能テストケース'!B:B,A24,'実行可能テストケース'!K:K,"ブロック")</f>
        <v/>
      </c>
      <c r="G24" s="60">
        <f>IF((B24-F24)=0,0,(C24+D24*0.5)/(B24-F24))</f>
        <v/>
      </c>
    </row>
    <row r="25">
      <c r="A25" s="61" t="inlineStr">
        <is>
          <t>合計</t>
        </is>
      </c>
      <c r="B25" s="62">
        <f>SUM(B19:B24)</f>
        <v/>
      </c>
      <c r="C25" s="62">
        <f>SUM(C19:C24)</f>
        <v/>
      </c>
      <c r="D25" s="62">
        <f>SUM(D19:D24)</f>
        <v/>
      </c>
      <c r="E25" s="62">
        <f>SUM(E19:E24)</f>
        <v/>
      </c>
      <c r="F25" s="62">
        <f>SUM(F19:F24)</f>
        <v/>
      </c>
      <c r="G25" s="63">
        <f>IF((B25-F25)=0,0,(C25+D25*0.5)/(B25-F25))</f>
        <v/>
      </c>
    </row>
    <row r="27">
      <c r="A27" s="64" t="inlineStr">
        <is>
          <t>凡例</t>
        </is>
      </c>
    </row>
    <row r="28">
      <c r="A28" s="65" t="inlineStr">
        <is>
          <t>テストケースの実装状況：</t>
        </is>
      </c>
    </row>
    <row r="29">
      <c r="A29" s="66" t="inlineStr">
        <is>
          <t>実装済み = 仕様通りに実装完了  |  一部実装 = 一部機能あるが未完成  |  未実装 = 未着手</t>
        </is>
      </c>
    </row>
    <row r="30">
      <c r="A30" s="66" t="inlineStr">
        <is>
          <t>カバレッジ % = (実装済み + 一部実装 × 0.5) / 合計</t>
        </is>
      </c>
    </row>
    <row r="32">
      <c r="A32" s="65" t="inlineStr">
        <is>
          <t>実行可能テストケースの合否：</t>
        </is>
      </c>
    </row>
    <row r="33">
      <c r="A33" s="66" t="inlineStr">
        <is>
          <t>合格 = テスト合格  |  一部合格 = 一部動作  |  不合格 = テスト失敗  |  ブロック = テスト不可（前提条件未達）</t>
        </is>
      </c>
    </row>
    <row r="34">
      <c r="A34" s="66" t="inlineStr">
        <is>
          <t>合格率 % = (合格 + 一部合格 × 0.5) / (合計 − ブロック)</t>
        </is>
      </c>
    </row>
    <row r="37">
      <c r="A37" s="68" t="inlineStr">
        <is>
          <t>実行可能テストバグ — バグサマリー</t>
        </is>
      </c>
    </row>
    <row r="38">
      <c r="A38" s="69" t="inlineStr">
        <is>
          <t>カテゴリ</t>
        </is>
      </c>
      <c r="B38" s="69" t="inlineStr">
        <is>
          <t>合計</t>
        </is>
      </c>
      <c r="C38" s="69" t="inlineStr">
        <is>
          <t>重大</t>
        </is>
      </c>
      <c r="D38" s="69" t="inlineStr">
        <is>
          <t>重要</t>
        </is>
      </c>
      <c r="E38" s="69" t="inlineStr">
        <is>
          <t>軽微</t>
        </is>
      </c>
      <c r="F38" s="69" t="inlineStr">
        <is>
          <t>バグ</t>
        </is>
      </c>
      <c r="G38" s="69" t="inlineStr">
        <is>
          <t>改善提案</t>
        </is>
      </c>
    </row>
    <row r="39">
      <c r="A39" s="70" t="inlineStr">
        <is>
          <t>申請</t>
        </is>
      </c>
      <c r="B39" s="70">
        <f>COUNTIF('実行可能テストバグ'!C:C,A39)</f>
        <v/>
      </c>
      <c r="C39" s="70">
        <f>COUNTIFS('実行可能テストバグ'!C:C,A39,'実行可能テストバグ'!G:G,"重大")</f>
        <v/>
      </c>
      <c r="D39" s="70">
        <f>COUNTIFS('実行可能テストバグ'!C:C,A39,'実行可能テストバグ'!G:G,"重要")</f>
        <v/>
      </c>
      <c r="E39" s="70">
        <f>COUNTIFS('実行可能テストバグ'!C:C,A39,'実行可能テストバグ'!G:G,"軽微")</f>
        <v/>
      </c>
      <c r="F39" s="70">
        <f>COUNTIFS('実行可能テストバグ'!C:C,A39,'実行可能テストバグ'!F:F,"バグ")</f>
        <v/>
      </c>
      <c r="G39" s="70">
        <f>COUNTIFS('実行可能テストバグ'!C:C,A39,'実行可能テストバグ'!F:F,"改善提案")</f>
        <v/>
      </c>
    </row>
    <row r="40">
      <c r="A40" s="70" t="inlineStr">
        <is>
          <t>承認</t>
        </is>
      </c>
      <c r="B40" s="70">
        <f>COUNTIF('実行可能テストバグ'!C:C,A40)</f>
        <v/>
      </c>
      <c r="C40" s="70">
        <f>COUNTIFS('実行可能テストバグ'!C:C,A40,'実行可能テストバグ'!G:G,"重大")</f>
        <v/>
      </c>
      <c r="D40" s="70">
        <f>COUNTIFS('実行可能テストバグ'!C:C,A40,'実行可能テストバグ'!G:G,"重要")</f>
        <v/>
      </c>
      <c r="E40" s="70">
        <f>COUNTIFS('実行可能テストバグ'!C:C,A40,'実行可能テストバグ'!G:G,"軽微")</f>
        <v/>
      </c>
      <c r="F40" s="70">
        <f>COUNTIFS('実行可能テストバグ'!C:C,A40,'実行可能テストバグ'!F:F,"バグ")</f>
        <v/>
      </c>
      <c r="G40" s="70">
        <f>COUNTIFS('実行可能テストバグ'!C:C,A40,'実行可能テストバグ'!F:F,"改善提案")</f>
        <v/>
      </c>
    </row>
    <row r="41">
      <c r="A41" s="70" t="inlineStr">
        <is>
          <t>AIチャット</t>
        </is>
      </c>
      <c r="B41" s="70">
        <f>COUNTIF('実行可能テストバグ'!C:C,A41)</f>
        <v/>
      </c>
      <c r="C41" s="70">
        <f>COUNTIFS('実行可能テストバグ'!C:C,A41,'実行可能テストバグ'!G:G,"重大")</f>
        <v/>
      </c>
      <c r="D41" s="70">
        <f>COUNTIFS('実行可能テストバグ'!C:C,A41,'実行可能テストバグ'!G:G,"重要")</f>
        <v/>
      </c>
      <c r="E41" s="70">
        <f>COUNTIFS('実行可能テストバグ'!C:C,A41,'実行可能テストバグ'!G:G,"軽微")</f>
        <v/>
      </c>
      <c r="F41" s="70">
        <f>COUNTIFS('実行可能テストバグ'!C:C,A41,'実行可能テストバグ'!F:F,"バグ")</f>
        <v/>
      </c>
      <c r="G41" s="70">
        <f>COUNTIFS('実行可能テストバグ'!C:C,A41,'実行可能テストバグ'!F:F,"改善提案")</f>
        <v/>
      </c>
    </row>
    <row r="42">
      <c r="A42" s="70" t="inlineStr">
        <is>
          <t>AI検索</t>
        </is>
      </c>
      <c r="B42" s="70">
        <f>COUNTIF('実行可能テストバグ'!C:C,A42)</f>
        <v/>
      </c>
      <c r="C42" s="70">
        <f>COUNTIFS('実行可能テストバグ'!C:C,A42,'実行可能テストバグ'!G:G,"重大")</f>
        <v/>
      </c>
      <c r="D42" s="70">
        <f>COUNTIFS('実行可能テストバグ'!C:C,A42,'実行可能テストバグ'!G:G,"重要")</f>
        <v/>
      </c>
      <c r="E42" s="70">
        <f>COUNTIFS('実行可能テストバグ'!C:C,A42,'実行可能テストバグ'!G:G,"軽微")</f>
        <v/>
      </c>
      <c r="F42" s="70">
        <f>COUNTIFS('実行可能テストバグ'!C:C,A42,'実行可能テストバグ'!F:F,"バグ")</f>
        <v/>
      </c>
      <c r="G42" s="70">
        <f>COUNTIFS('実行可能テストバグ'!C:C,A42,'実行可能テストバグ'!F:F,"改善提案")</f>
        <v/>
      </c>
    </row>
    <row r="43">
      <c r="A43" s="70" t="inlineStr">
        <is>
          <t>ステータス</t>
        </is>
      </c>
      <c r="B43" s="70">
        <f>COUNTIF('実行可能テストバグ'!C:C,A43)</f>
        <v/>
      </c>
      <c r="C43" s="70">
        <f>COUNTIFS('実行可能テストバグ'!C:C,A43,'実行可能テストバグ'!G:G,"重大")</f>
        <v/>
      </c>
      <c r="D43" s="70">
        <f>COUNTIFS('実行可能テストバグ'!C:C,A43,'実行可能テストバグ'!G:G,"重要")</f>
        <v/>
      </c>
      <c r="E43" s="70">
        <f>COUNTIFS('実行可能テストバグ'!C:C,A43,'実行可能テストバグ'!G:G,"軽微")</f>
        <v/>
      </c>
      <c r="F43" s="70">
        <f>COUNTIFS('実行可能テストバグ'!C:C,A43,'実行可能テストバグ'!F:F,"バグ")</f>
        <v/>
      </c>
      <c r="G43" s="70">
        <f>COUNTIFS('実行可能テストバグ'!C:C,A43,'実行可能テストバグ'!F:F,"改善提案")</f>
        <v/>
      </c>
    </row>
    <row r="44">
      <c r="A44" s="70" t="inlineStr">
        <is>
          <t>ユーザーロール</t>
        </is>
      </c>
      <c r="B44" s="70">
        <f>COUNTIF('実行可能テストバグ'!C:C,A44)</f>
        <v/>
      </c>
      <c r="C44" s="70">
        <f>COUNTIFS('実行可能テストバグ'!C:C,A44,'実行可能テストバグ'!G:G,"重大")</f>
        <v/>
      </c>
      <c r="D44" s="70">
        <f>COUNTIFS('実行可能テストバグ'!C:C,A44,'実行可能テストバグ'!G:G,"重要")</f>
        <v/>
      </c>
      <c r="E44" s="70">
        <f>COUNTIFS('実行可能テストバグ'!C:C,A44,'実行可能テストバグ'!G:G,"軽微")</f>
        <v/>
      </c>
      <c r="F44" s="70">
        <f>COUNTIFS('実行可能テストバグ'!C:C,A44,'実行可能テストバグ'!F:F,"バグ")</f>
        <v/>
      </c>
      <c r="G44" s="70">
        <f>COUNTIFS('実行可能テストバグ'!C:C,A44,'実行可能テストバグ'!F:F,"改善提案")</f>
        <v/>
      </c>
    </row>
    <row r="45">
      <c r="A45" s="71" t="inlineStr">
        <is>
          <t>合計</t>
        </is>
      </c>
      <c r="B45" s="71">
        <f>SUM(B39:B44)</f>
        <v/>
      </c>
      <c r="C45" s="71">
        <f>SUM(C39:C44)</f>
        <v/>
      </c>
      <c r="D45" s="71">
        <f>SUM(D39:D44)</f>
        <v/>
      </c>
      <c r="E45" s="71">
        <f>SUM(E39:E44)</f>
        <v/>
      </c>
      <c r="F45" s="71">
        <f>SUM(F39:F44)</f>
        <v/>
      </c>
      <c r="G45" s="71">
        <f>SUM(G39:G44)</f>
        <v/>
      </c>
    </row>
  </sheetData>
  <mergeCells count="7">
    <mergeCell ref="A17:G17"/>
    <mergeCell ref="A27:G27"/>
    <mergeCell ref="A1:F1"/>
    <mergeCell ref="A34:G34"/>
    <mergeCell ref="A30:G30"/>
    <mergeCell ref="A29:G29"/>
    <mergeCell ref="A33:G3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49"/>
  <sheetViews>
    <sheetView workbookViewId="0">
      <selection activeCell="A1" sqref="A1"/>
    </sheetView>
  </sheetViews>
  <sheetFormatPr baseColWidth="8" defaultRowHeight="15"/>
  <cols>
    <col width="14" customWidth="1" style="54" min="1" max="1"/>
    <col width="13" customWidth="1" style="54" min="2" max="2"/>
    <col width="28" customWidth="1" style="54" min="3" max="3"/>
    <col width="36" customWidth="1" style="54" min="4" max="4"/>
    <col width="13" customWidth="1" style="54" min="5" max="5"/>
    <col width="28" customWidth="1" style="54" min="6" max="6"/>
    <col width="55" customWidth="1" style="54" min="7" max="7"/>
    <col width="42" customWidth="1" style="54" min="8" max="8"/>
    <col width="37.43" customWidth="1" style="54" min="9" max="9"/>
    <col width="10" customWidth="1" style="54" min="10" max="10"/>
    <col width="30" customWidth="1" style="54" min="11" max="11"/>
    <col width="34.71" customWidth="1" style="54" min="12" max="12"/>
    <col width="30" customWidth="1" style="54" min="13" max="13"/>
    <col width="71.14" customWidth="1" style="54" min="14" max="14"/>
    <col width="13" customWidth="1" style="54" min="15" max="15"/>
    <col width="13" customWidth="1" style="54" min="16" max="16"/>
    <col width="13" customWidth="1" style="54" min="17" max="17"/>
    <col width="13" customWidth="1" style="54" min="18" max="18"/>
    <col width="13" customWidth="1" style="54" min="19" max="19"/>
    <col width="13" customWidth="1" style="54" min="20" max="20"/>
    <col width="13" customWidth="1" style="54" min="21" max="21"/>
    <col width="13" customWidth="1" style="54" min="22" max="22"/>
    <col width="13" customWidth="1" style="54" min="23" max="23"/>
    <col width="13" customWidth="1" style="54" min="24" max="24"/>
    <col width="13" customWidth="1" style="54" min="25" max="25"/>
    <col width="13" customWidth="1" style="54" min="26" max="26"/>
  </cols>
  <sheetData>
    <row r="1" ht="30" customHeight="1" s="54">
      <c r="A1" s="33" t="inlineStr">
        <is>
          <t>テストケースID</t>
        </is>
      </c>
      <c r="B1" s="33" t="inlineStr">
        <is>
          <t>カテゴリ</t>
        </is>
      </c>
      <c r="C1" s="33" t="inlineStr">
        <is>
          <t>機能</t>
        </is>
      </c>
      <c r="D1" s="33" t="inlineStr">
        <is>
          <t>テストケースタイトル</t>
        </is>
      </c>
      <c r="E1" s="33" t="inlineStr">
        <is>
          <t>種別</t>
        </is>
      </c>
      <c r="F1" s="33" t="inlineStr">
        <is>
          <t>前提条件</t>
        </is>
      </c>
      <c r="G1" s="33" t="inlineStr">
        <is>
          <t>テスト手順</t>
        </is>
      </c>
      <c r="H1" s="33" t="inlineStr">
        <is>
          <t>期待結果</t>
        </is>
      </c>
      <c r="I1" s="33" t="inlineStr">
        <is>
          <t>テストファイル</t>
        </is>
      </c>
      <c r="J1" s="33" t="inlineStr">
        <is>
          <t>優先度</t>
        </is>
      </c>
      <c r="K1" s="33" t="inlineStr">
        <is>
          <t>合否</t>
        </is>
      </c>
      <c r="L1" s="33" t="inlineStr">
        <is>
          <t>リンク</t>
        </is>
      </c>
      <c r="M1" s="33" t="inlineStr">
        <is>
          <t>備考</t>
        </is>
      </c>
      <c r="N1" s="34" t="inlineStr">
        <is>
          <t>仕様書参照</t>
        </is>
      </c>
      <c r="O1" s="3" t="n"/>
      <c r="P1" s="3" t="n"/>
      <c r="Q1" s="3" t="n"/>
      <c r="R1" s="3" t="n"/>
      <c r="S1" s="3" t="n"/>
      <c r="T1" s="3" t="n"/>
      <c r="U1" s="3" t="n"/>
      <c r="V1" s="3" t="n"/>
      <c r="W1" s="3" t="n"/>
      <c r="X1" s="3" t="n"/>
      <c r="Y1" s="3" t="n"/>
      <c r="Z1" s="3" t="n"/>
    </row>
    <row r="2" ht="60" customHeight="1" s="54">
      <c r="A2" s="35" t="inlineStr">
        <is>
          <t>KT-SUB-001</t>
        </is>
      </c>
      <c r="B2" s="35" t="inlineStr">
        <is>
          <t>申請</t>
        </is>
      </c>
      <c r="C2" s="41" t="inlineStr">
        <is>
          <t>英語ドキュメントで申請</t>
        </is>
      </c>
      <c r="D2" s="41" t="inlineStr">
        <is>
          <t>英語ドキュメントで有効な稟議を申請</t>
        </is>
      </c>
      <c r="E2" s="39" t="inlineStr">
        <is>
          <t>メイン</t>
        </is>
      </c>
      <c r="F2" s="41" t="inlineStr">
        <is>
          <t>staff@gmail.comでログイン</t>
        </is>
      </c>
      <c r="G2" s="41" t="inlineStr">
        <is>
          <t>1. Login staff@gmail.com at https://eb-filemg-development.vercel.app
2. 「新規申請」をクリック → Category: Purchasing
3. Title: 'Annual Software License Renewal', Priority: High, Dept: Sales
4. Add Item: 'Adobe CC Enterprise License' ×1, $12,500
5. Vendor: 'Adobe Inc.', Payment: 2026-03-15, Bank Transfer
6. Required by: 2026-03-01 09:00
7. Reason: 'Annual renewal of Adobe CC licenses, expires March 31'
8. Purpose: 'Maintain design tool access for Sales marketing'
9. Attach ringi_en_detailed_license_renewal.docx
10. 確認する Approval Route → Click 'Create Submission'</t>
        </is>
      </c>
      <c r="H2" s="41" t="inlineStr">
        <is>
          <t>「保留中」ステータスで申請が作成される。タイトル='Annual Software License Renewal'、優先度=High、金額=$12,500。ファイルが添付され詳細表示で確認可能。承認ルートが表示される。</t>
        </is>
      </c>
      <c r="I2" s="41" t="inlineStr">
        <is>
          <t>ringi_en_detailed_license_renewal.docx</t>
        </is>
      </c>
      <c r="J2" s="38" t="inlineStr">
        <is>
          <t>P1</t>
        </is>
      </c>
      <c r="K2" s="39" t="inlineStr">
        <is>
          <t>合格</t>
        </is>
      </c>
      <c r="L2" s="46" t="inlineStr">
        <is>
          <t xml:space="preserve">https://jam.dev/c/c59ad198-fb75-4953-8e4c-279d811bdcc1 </t>
        </is>
      </c>
      <c r="M2" s="41" t="inlineStr">
        <is>
          <t>there is subtle bug: Submitted By
Staff null
---
It would be beneficial if there is Draft
submission status as well</t>
        </is>
      </c>
      <c r="N2" s="41" t="inlineStr">
        <is>
          <t>Spec 6.1 (申請)
→ "フォーム項目: Subject, Category (Purchasing, Contracts, Expenses, Misc.), Amount (tax incl./excl.), Tax category, Payment terms, Vendor/Counterparty, Purpose, Period, Budget code, Project, Desired approval date, Applicant/Department."</t>
        </is>
      </c>
      <c r="O2" s="3" t="n"/>
      <c r="P2" s="3" t="n"/>
      <c r="Q2" s="3" t="n"/>
      <c r="R2" s="3" t="n"/>
      <c r="S2" s="3" t="n"/>
      <c r="T2" s="3" t="n"/>
      <c r="U2" s="3" t="n"/>
      <c r="V2" s="3" t="n"/>
      <c r="W2" s="3" t="n"/>
      <c r="X2" s="3" t="n"/>
      <c r="Y2" s="3" t="n"/>
      <c r="Z2" s="3" t="n"/>
    </row>
    <row r="3" ht="60" customHeight="1" s="54">
      <c r="A3" s="35" t="inlineStr">
        <is>
          <t>KT-SUB-002</t>
        </is>
      </c>
      <c r="B3" s="35" t="inlineStr">
        <is>
          <t>申請</t>
        </is>
      </c>
      <c r="C3" s="41" t="inlineStr">
        <is>
          <t>日本語ドキュメントで申請</t>
        </is>
      </c>
      <c r="D3" s="41" t="inlineStr">
        <is>
          <t>日本語ドキュメントで有効な稟議を申請</t>
        </is>
      </c>
      <c r="E3" s="39" t="inlineStr">
        <is>
          <t>メイン</t>
        </is>
      </c>
      <c r="F3" s="41" t="inlineStr">
        <is>
          <t>staff@gmail.comでログイン</t>
        </is>
      </c>
      <c r="G3" s="41" t="inlineStr">
        <is>
          <t>1. Login staff@gmail.com
2. New Submission → Category: Purchasing
3. Title: 'オフィスチェア購入稟議', Priority: Medium, Dept: 総務部
4. Add Item: 'エルゴノミクスオフィスチェア' ×10, ¥50,000
5. Enable Tax: ON, Rate: 10%
6. Vendor: 'オフィス家具株式会社', Payment: 2026-04-01, Bank Transfer
7. Required by: 2026-03-20 10:00
8. Reason: '総務部用オフィスチェア10脚の購入申請'
9. Purpose: '従業員の作業環境改善'
10. Attach ringi_jp_purchase_chairs.docx → Create Submission</t>
        </is>
      </c>
      <c r="H3" s="41" t="inlineStr">
        <is>
          <t>日本語コンテンツで申請が作成され、文字化けなし。ステータス「保留中」。税: ¥500,000 + 10% = ¥550,000。ファイルが添付。</t>
        </is>
      </c>
      <c r="I3" s="41" t="inlineStr">
        <is>
          <t>ringi_jp_purchase_chairs.docx</t>
        </is>
      </c>
      <c r="J3" s="38" t="inlineStr">
        <is>
          <t>P1</t>
        </is>
      </c>
      <c r="K3" s="39" t="inlineStr">
        <is>
          <t>合格</t>
        </is>
      </c>
      <c r="L3" s="67" t="inlineStr">
        <is>
          <t>https://jam.dev/c/e7c5d836-7e67-4e76-82d7-9d8f3957ce0d</t>
        </is>
      </c>
      <c r="M3" s="41" t="inlineStr">
        <is>
          <t>there is subtle bug regarding the tax number in form and also in details</t>
        </is>
      </c>
      <c r="N3" s="41" t="inlineStr">
        <is>
          <t>Spec 6.1 (申請)
→ "フォーム項目: Subject, Category (Purchasing, Contracts, Expenses, Misc.), Amount (tax incl./excl.), Tax category, Payment terms, Vendor/Counterparty, Purpose, Period, Budget code, Project, Desired approval date, Applicant/Department."</t>
        </is>
      </c>
      <c r="O3" s="3" t="n"/>
      <c r="P3" s="3" t="n"/>
      <c r="Q3" s="3" t="n"/>
      <c r="R3" s="3" t="n"/>
      <c r="S3" s="3" t="n"/>
      <c r="T3" s="3" t="n"/>
      <c r="U3" s="3" t="n"/>
      <c r="V3" s="3" t="n"/>
      <c r="W3" s="3" t="n"/>
      <c r="X3" s="3" t="n"/>
      <c r="Y3" s="3" t="n"/>
      <c r="Z3" s="3" t="n"/>
    </row>
    <row r="4" ht="60" customHeight="1" s="54">
      <c r="A4" s="35" t="inlineStr">
        <is>
          <t>KT-SUB-003</t>
        </is>
      </c>
      <c r="B4" s="35" t="inlineStr">
        <is>
          <t>申請</t>
        </is>
      </c>
      <c r="C4" s="41" t="inlineStr">
        <is>
          <t>全項目＋明細項目で申請</t>
        </is>
      </c>
      <c r="D4" s="41" t="inlineStr">
        <is>
          <t>全項目＋複数明細で申請</t>
        </is>
      </c>
      <c r="E4" s="39" t="inlineStr">
        <is>
          <t>メイン</t>
        </is>
      </c>
      <c r="F4" s="41" t="inlineStr">
        <is>
          <t>staff@gmail.comでログイン</t>
        </is>
      </c>
      <c r="G4" s="41" t="inlineStr">
        <is>
          <t>1. Login staff@gmail.com
2. New Submission → Category: Purchasing
3. Title: 'Dell 4K Monitor Purchase for Development Team', Priority: Medium, Dept: IT
4. 項目1を追加: 'Dell UltraSharp U2723QE 27"' ×5, $750
5. 項目2を追加: 'Monitor Stand Arm' ×5, $0
6. Vendor: 'Dell Technologies', Payment: 2026-04-15, Credit Card
7. Required by: 2026-04-01 14:00
8. Reason: 'Purchase 5x 4K monitors for dev team'
9. Purpose: 'Improve developer productivity with high-res displays'
10. Remarks: 'Deliver to Building A, Floor 3'
11. Attach ringi_en_purchase_monitors.docx → Create Submission</t>
        </is>
      </c>
      <c r="H4" s="41" t="inlineStr">
        <is>
          <t>全フィールドが保存。両方の品目が表示（モニター＋スタンド）。金額=$3,750。添付ファイルが表示・ダウンロード可能。ステータス「保留中」。</t>
        </is>
      </c>
      <c r="I4" s="41" t="inlineStr">
        <is>
          <t>ringi_en_purchase_monitors.docx</t>
        </is>
      </c>
      <c r="J4" s="38" t="inlineStr">
        <is>
          <t>P1</t>
        </is>
      </c>
      <c r="K4" s="39" t="inlineStr">
        <is>
          <t>合格</t>
        </is>
      </c>
      <c r="L4" s="43" t="inlineStr">
        <is>
          <t>https://jam.dev/c/e5777a3f-6626-4419-92d8-8884a9ef544d</t>
        </is>
      </c>
      <c r="M4" s="41" t="inlineStr">
        <is>
          <t>there is bug in detail when clicked the filed it show xml file</t>
        </is>
      </c>
      <c r="N4" s="41" t="inlineStr">
        <is>
          <t>Spec 6.1 (申請)
→ "フォーム項目: Subject, Category (Purchasing, Contracts, Expenses, Misc.), Amount (tax incl./excl.), Tax category, Payment terms, Vendor/Counterparty, Purpose, Period, Budget code, Project, Desired approval date, Applicant/Department."</t>
        </is>
      </c>
      <c r="O4" s="3" t="n"/>
      <c r="P4" s="3" t="n"/>
      <c r="Q4" s="3" t="n"/>
      <c r="R4" s="3" t="n"/>
      <c r="S4" s="3" t="n"/>
      <c r="T4" s="3" t="n"/>
      <c r="U4" s="3" t="n"/>
      <c r="V4" s="3" t="n"/>
      <c r="W4" s="3" t="n"/>
      <c r="X4" s="3" t="n"/>
      <c r="Y4" s="3" t="n"/>
      <c r="Z4" s="3" t="n"/>
    </row>
    <row r="5" ht="60" customHeight="1" s="54">
      <c r="A5" s="35" t="inlineStr">
        <is>
          <t>KT-SUB-004</t>
        </is>
      </c>
      <c r="B5" s="35" t="inlineStr">
        <is>
          <t>申請</t>
        </is>
      </c>
      <c r="C5" s="41" t="inlineStr">
        <is>
          <t>最小限の項目で申請</t>
        </is>
      </c>
      <c r="D5" s="41" t="inlineStr">
        <is>
          <t>最小限の必須項目のみで申請</t>
        </is>
      </c>
      <c r="E5" s="44" t="inlineStr">
        <is>
          <t>基本</t>
        </is>
      </c>
      <c r="F5" s="41" t="inlineStr">
        <is>
          <t>staff@gmail.comでログイン</t>
        </is>
      </c>
      <c r="G5" s="41" t="inlineStr">
        <is>
          <t>1. staff@gmail.comでログイン
2. 新規申請 → カテゴリ: Other
3. タイトル: 'Minimum Fields Test'、優先度: Low、部署: General
4. 品目なし、添付なし、備考なし
5. 取引先: 'N/A'、支払: 2026-05-01、Cash
6. 期限: 2026-04-30 17:00
7. 理由: 'Testing with minimum required fields only'、目的: 'Edge case test'
8. 承認ルート確認 → 「申請を作成」</t>
        </is>
      </c>
      <c r="H5" s="41" t="inlineStr">
        <is>
          <t>必須データのみで申請が作成される。オプション項目でバリデーションエラーなし。ダッシュボードに「保留中」ステータス。</t>
        </is>
      </c>
      <c r="I5" s="41" t="inlineStr">
        <is>
          <t>(none)</t>
        </is>
      </c>
      <c r="J5" s="45" t="inlineStr">
        <is>
          <t>P2</t>
        </is>
      </c>
      <c r="K5" s="39" t="inlineStr">
        <is>
          <t>合格</t>
        </is>
      </c>
      <c r="L5" s="46" t="inlineStr">
        <is>
          <t xml:space="preserve">https://jam.dev/c/ca785d03-1021-4e40-987f-54b86a4660ea </t>
        </is>
      </c>
      <c r="M5" s="41" t="n"/>
      <c r="N5" s="41" t="inlineStr">
        <is>
          <t>Spec 6.1 (申請)
→ "フォーム項目: Subject, Category (Purchasing, Contracts, Expenses, Misc.), Amount (tax incl./excl.), Tax category, Payment terms, Vendor/Counterparty, Purpose, Period, Budget code, Project, Desired approval date, Applicant/Department."</t>
        </is>
      </c>
      <c r="O5" s="3" t="n"/>
      <c r="P5" s="3" t="n"/>
      <c r="Q5" s="3" t="n"/>
      <c r="R5" s="3" t="n"/>
      <c r="S5" s="3" t="n"/>
      <c r="T5" s="3" t="n"/>
      <c r="U5" s="3" t="n"/>
      <c r="V5" s="3" t="n"/>
      <c r="W5" s="3" t="n"/>
      <c r="X5" s="3" t="n"/>
      <c r="Y5" s="3" t="n"/>
      <c r="Z5" s="3" t="n"/>
    </row>
    <row r="6" ht="60" customHeight="1" s="54">
      <c r="A6" s="35" t="inlineStr">
        <is>
          <t>KT-SUB-005</t>
        </is>
      </c>
      <c r="B6" s="35" t="inlineStr">
        <is>
          <t>申請</t>
        </is>
      </c>
      <c r="C6" s="41" t="inlineStr">
        <is>
          <t>Excel添付で申請</t>
        </is>
      </c>
      <c r="D6" s="41" t="inlineStr">
        <is>
          <t>Excelスプレッドシート稟議を添付して申請</t>
        </is>
      </c>
      <c r="E6" s="44" t="inlineStr">
        <is>
          <t>基本</t>
        </is>
      </c>
      <c r="F6" s="41" t="inlineStr">
        <is>
          <t>staff@gmail.comでログイン</t>
        </is>
      </c>
      <c r="G6" s="41" t="inlineStr">
        <is>
          <t>1. Login staff@gmail.com
2. New Submission → Category: Expense
3. Title: '会計ソフト更新', Priority: Medium, Dept: 経理部
4. Add Item: 'freee会計 年間ライセンス' ×1, ¥600,000
5. Vendor: 'freee株式会社', Payment: 2026-04-01, Bank Transfer
6. Required by: 2026-03-25 10:00
7. Reason: '経理部の会計ソフトfreeeの年間ライセンス更新'
8. Purpose: '経理業務の継続'
9. Attach ringi_jp_spreadsheet_accounting.xlsx → Create Submission</t>
        </is>
      </c>
      <c r="H6" s="41" t="inlineStr">
        <is>
          <t>Excelファイル（.xlsx）が添付として受け入れられる。申請が作成される。詳細表示からファイルをダウンロード可能。</t>
        </is>
      </c>
      <c r="I6" s="41" t="inlineStr">
        <is>
          <t>ringi_jp_spreadsheet_accounting.xlsx</t>
        </is>
      </c>
      <c r="J6" s="45" t="inlineStr">
        <is>
          <t>P2</t>
        </is>
      </c>
      <c r="K6" s="39" t="inlineStr">
        <is>
          <t>合格</t>
        </is>
      </c>
      <c r="L6" s="46" t="inlineStr">
        <is>
          <t>https://jam.dev/c/5a4cb745-883b-45d7-9be7-dfc259942d1f</t>
        </is>
      </c>
      <c r="M6" s="41" t="n"/>
      <c r="N6" s="41" t="inlineStr">
        <is>
          <t>Spec 6.1 (申請)
→ "添付ファイル: Quotes, contracts, and related materials. 承認後の改ざん不可（新バージョンとして再申請が必要）."</t>
        </is>
      </c>
      <c r="O6" s="3" t="n"/>
      <c r="P6" s="3" t="n"/>
      <c r="Q6" s="3" t="n"/>
      <c r="R6" s="3" t="n"/>
      <c r="S6" s="3" t="n"/>
      <c r="T6" s="3" t="n"/>
      <c r="U6" s="3" t="n"/>
      <c r="V6" s="3" t="n"/>
      <c r="W6" s="3" t="n"/>
      <c r="X6" s="3" t="n"/>
      <c r="Y6" s="3" t="n"/>
      <c r="Z6" s="3" t="n"/>
    </row>
    <row r="7" ht="60" customHeight="1" s="54">
      <c r="A7" s="35" t="inlineStr">
        <is>
          <t>KT-SUB-006</t>
        </is>
      </c>
      <c r="B7" s="35" t="inlineStr">
        <is>
          <t>申請</t>
        </is>
      </c>
      <c r="C7" s="41" t="inlineStr">
        <is>
          <t>保留中の申請を編集</t>
        </is>
      </c>
      <c r="D7" s="41" t="inlineStr">
        <is>
          <t>保留中の申請を編集</t>
        </is>
      </c>
      <c r="E7" s="44" t="inlineStr">
        <is>
          <t>基本</t>
        </is>
      </c>
      <c r="F7" s="41" t="inlineStr">
        <is>
          <t>staff@gmail.comによる保留中の申請が存在</t>
        </is>
      </c>
      <c r="G7" s="41" t="inlineStr">
        <is>
          <t>1. Login staff@gmail.com
2. Go to dashboard, click pending submission card → detail /approval-requests/[id]
3. 「編集」をクリック
4. Change title to 'Updated: [original title]'
5. Change Priority to Critical
6. 保存 changes</t>
        </is>
      </c>
      <c r="H7" s="41" t="inlineStr">
        <is>
          <t>編集フォームが事前入力データで読み込まれる。変更が保存される。申請は「保留中」のまま。更新された値が詳細に表示。</t>
        </is>
      </c>
      <c r="I7" s="41" t="inlineStr">
        <is>
          <t>(none)</t>
        </is>
      </c>
      <c r="J7" s="45" t="inlineStr">
        <is>
          <t>P2</t>
        </is>
      </c>
      <c r="K7" s="39" t="inlineStr">
        <is>
          <t>合格</t>
        </is>
      </c>
      <c r="L7" s="46" t="inlineStr">
        <is>
          <t>https://jam.dev/c/d10f06f9-6592-48b7-bdd6-b8f727a38b55</t>
        </is>
      </c>
      <c r="M7" s="41" t="n"/>
      <c r="N7" s="41" t="inlineStr">
        <is>
          <t>Spec 6.1 (申請)
→ "ステータス: Draft / Applying / Waiting for Approval (by stage) / Sent Back / Rejected / Approved / Expired."</t>
        </is>
      </c>
      <c r="O7" s="3" t="n"/>
      <c r="P7" s="3" t="n"/>
      <c r="Q7" s="3" t="n"/>
      <c r="R7" s="3" t="n"/>
      <c r="S7" s="3" t="n"/>
      <c r="T7" s="3" t="n"/>
      <c r="U7" s="3" t="n"/>
      <c r="V7" s="3" t="n"/>
      <c r="W7" s="3" t="n"/>
      <c r="X7" s="3" t="n"/>
      <c r="Y7" s="3" t="n"/>
      <c r="Z7" s="3" t="n"/>
    </row>
    <row r="8" ht="60" customHeight="1" s="54">
      <c r="A8" s="35" t="inlineStr">
        <is>
          <t>KT-SUB-007</t>
        </is>
      </c>
      <c r="B8" s="35" t="inlineStr">
        <is>
          <t>申請</t>
        </is>
      </c>
      <c r="C8" s="41" t="inlineStr">
        <is>
          <t>画像ファイルで申請</t>
        </is>
      </c>
      <c r="D8" s="41" t="inlineStr">
        <is>
          <t>ビーチ画像を添付して申請（不正ファイル形式）</t>
        </is>
      </c>
      <c r="E8" s="47" t="inlineStr">
        <is>
          <t>エッジケース</t>
        </is>
      </c>
      <c r="F8" s="41" t="inlineStr">
        <is>
          <t>staff@gmail.comでログイン</t>
        </is>
      </c>
      <c r="G8" s="41" t="inlineStr">
        <is>
          <t>1. Login staff@gmail.com
2. New Submission → Category: Other
3. Title: 'Edge Case Test - Image Upload', Priority: Low, Dept: QA
4. Vendor: 'Test', Payment: 2026-05-01, Cash
5. Required by: 2026-04-30 17:00
6. Reason: 'Testing image file upload behavior', Purpose: 'QA Edge Case'
7. Attach edge_beach_image.jpg
8. を試みる submit</t>
        </is>
      </c>
      <c r="H8" s="41" t="inlineStr">
        <is>
          <t>システムが画像ファイルタイプを明確なメッセージで拒否するか、正常に受け入れる（クラッシュなし、データ破損なし）。</t>
        </is>
      </c>
      <c r="I8" s="41" t="inlineStr">
        <is>
          <t>edge_beach_image.jpg</t>
        </is>
      </c>
      <c r="J8" s="45" t="inlineStr">
        <is>
          <t>P2</t>
        </is>
      </c>
      <c r="K8" s="39" t="inlineStr">
        <is>
          <t>合格</t>
        </is>
      </c>
      <c r="L8" s="46" t="inlineStr">
        <is>
          <t>https://jam.dev/c/9809373a-1afa-4a8d-8540-e4836b18b2c5</t>
        </is>
      </c>
      <c r="M8" s="41" t="n"/>
      <c r="N8" s="41" t="inlineStr">
        <is>
          <t>Spec 6.1 (申請)
→ "添付ファイル: Quotes, contracts, and related materials. 承認後の改ざん不可（新バージョンとして再申請が必要）."</t>
        </is>
      </c>
      <c r="O8" s="3" t="n"/>
      <c r="P8" s="3" t="n"/>
      <c r="Q8" s="3" t="n"/>
      <c r="R8" s="3" t="n"/>
      <c r="S8" s="3" t="n"/>
      <c r="T8" s="3" t="n"/>
      <c r="U8" s="3" t="n"/>
      <c r="V8" s="3" t="n"/>
      <c r="W8" s="3" t="n"/>
      <c r="X8" s="3" t="n"/>
      <c r="Y8" s="3" t="n"/>
      <c r="Z8" s="3" t="n"/>
    </row>
    <row r="9" ht="60" customHeight="1" s="54">
      <c r="A9" s="35" t="inlineStr">
        <is>
          <t>KT-SUB-008</t>
        </is>
      </c>
      <c r="B9" s="35" t="inlineStr">
        <is>
          <t>申請</t>
        </is>
      </c>
      <c r="C9" s="41" t="inlineStr">
        <is>
          <t>空PDFで申請</t>
        </is>
      </c>
      <c r="D9" s="41" t="inlineStr">
        <is>
          <t>空白PDFを添付して申請</t>
        </is>
      </c>
      <c r="E9" s="47" t="inlineStr">
        <is>
          <t>エッジケース</t>
        </is>
      </c>
      <c r="F9" s="41" t="inlineStr">
        <is>
          <t>staff@gmail.comでログイン</t>
        </is>
      </c>
      <c r="G9" s="41" t="inlineStr">
        <is>
          <t>1. staff@gmail.comでログイン
2. 新規申請 → カテゴリ: Other
3. タイトル: 'Edge Case Test - Empty PDF'、優先度: Low、部署: QA
4. 取引先: 'Test'、支払: 2026-05-01、Cash
5. 期限: 2026-04-30 17:00
6. 理由: 'Testing empty PDF upload behavior'、目的: 'Edge case'
7. ペーパークリップ → edge_empty.pdf（空のPDF）を選択
8. 承認ルート確認 → 「申請を作成」</t>
        </is>
      </c>
      <c r="H9" s="41" t="inlineStr">
        <is>
          <t>空のPDFをクラッシュせずに処理。受け入れるか適切な警告を表示。</t>
        </is>
      </c>
      <c r="I9" s="41" t="inlineStr">
        <is>
          <t>edge_empty_file.pdf</t>
        </is>
      </c>
      <c r="J9" s="48" t="inlineStr">
        <is>
          <t>P3</t>
        </is>
      </c>
      <c r="K9" s="39" t="inlineStr">
        <is>
          <t>合格</t>
        </is>
      </c>
      <c r="L9" s="43" t="inlineStr">
        <is>
          <t>https://jam.dev/c/22a8a004-c862-44b8-9dbf-5c70b1825501</t>
        </is>
      </c>
      <c r="M9" s="41" t="n"/>
      <c r="N9" s="41" t="inlineStr">
        <is>
          <t>Spec 6.1 (申請)
→ "添付ファイル: Quotes, contracts, and related materials. 承認後の改ざん不可（新バージョンとして再申請が必要）."</t>
        </is>
      </c>
      <c r="O9" s="3" t="n"/>
      <c r="P9" s="3" t="n"/>
      <c r="Q9" s="3" t="n"/>
      <c r="R9" s="3" t="n"/>
      <c r="S9" s="3" t="n"/>
      <c r="T9" s="3" t="n"/>
      <c r="U9" s="3" t="n"/>
      <c r="V9" s="3" t="n"/>
      <c r="W9" s="3" t="n"/>
      <c r="X9" s="3" t="n"/>
      <c r="Y9" s="3" t="n"/>
      <c r="Z9" s="3" t="n"/>
    </row>
    <row r="10" ht="60" customHeight="1" s="54">
      <c r="A10" s="35" t="inlineStr">
        <is>
          <t>KT-SUB-009</t>
        </is>
      </c>
      <c r="B10" s="35" t="inlineStr">
        <is>
          <t>申請</t>
        </is>
      </c>
      <c r="C10" s="41" t="inlineStr">
        <is>
          <t>特殊文字ファイル名で申請</t>
        </is>
      </c>
      <c r="D10" s="41" t="inlineStr">
        <is>
          <t>日本語文字を含むファイル名で申請</t>
        </is>
      </c>
      <c r="E10" s="47" t="inlineStr">
        <is>
          <t>エッジケース</t>
        </is>
      </c>
      <c r="F10" s="41" t="inlineStr">
        <is>
          <t>staff@gmail.comでログイン</t>
        </is>
      </c>
      <c r="G10" s="41" t="inlineStr">
        <is>
          <t>1. Login staff@gmail.com
2. New Submission → Category: Other
3. Title: 'Edge Case Test - Special Characters', Priority: Low, Dept: QA
4. Vendor: 'Test', Payment: 2026-05-01, Cash
5. Required by: 2026-04-30 17:00
6. Reason: 'Testing special character filename handling', Purpose: 'QA Edge Case'
7. Attach edge_special_chars_名前.docx (JP chars in filename)
8. Click 'Create Submission'</t>
        </is>
      </c>
      <c r="H10" s="41" t="inlineStr">
        <is>
          <t>ファイルがアップロードされる。ファイル名の日本語文字が正しく保持・表示される。エラーなしで申請が作成。</t>
        </is>
      </c>
      <c r="I10" s="41" t="inlineStr">
        <is>
          <t>edge_special_chars_名前.docx</t>
        </is>
      </c>
      <c r="J10" s="45" t="inlineStr">
        <is>
          <t>P2</t>
        </is>
      </c>
      <c r="K10" s="39" t="inlineStr">
        <is>
          <t>不合格</t>
        </is>
      </c>
      <c r="L10" s="53" t="inlineStr">
        <is>
          <t>https://jam.dev/c/e9e24876-69bd-4c41-ba8b-0886be4cd867</t>
        </is>
      </c>
      <c r="M10" s="41" t="inlineStr">
        <is>
          <t>error file char name</t>
        </is>
      </c>
      <c r="N10" s="41" t="inlineStr">
        <is>
          <t>Spec 6.1 (申請)
→ "添付ファイル: Quotes, contracts, and related materials. 承認後の改ざん不可（新バージョンとして再申請が必要）."</t>
        </is>
      </c>
      <c r="O10" s="3" t="n"/>
      <c r="P10" s="3" t="n"/>
      <c r="Q10" s="3" t="n"/>
      <c r="R10" s="3" t="n"/>
      <c r="S10" s="3" t="n"/>
      <c r="T10" s="3" t="n"/>
      <c r="U10" s="3" t="n"/>
      <c r="V10" s="3" t="n"/>
      <c r="W10" s="3" t="n"/>
      <c r="X10" s="3" t="n"/>
      <c r="Y10" s="3" t="n"/>
      <c r="Z10" s="3" t="n"/>
    </row>
    <row r="11" ht="60" customHeight="1" s="54">
      <c r="A11" s="35" t="inlineStr">
        <is>
          <t>KT-SUB-010</t>
        </is>
      </c>
      <c r="B11" s="35" t="inlineStr">
        <is>
          <t>申請</t>
        </is>
      </c>
      <c r="C11" s="41" t="inlineStr">
        <is>
          <t>超高額で申請</t>
        </is>
      </c>
      <c r="D11" s="41" t="inlineStr">
        <is>
          <t>超高額の金額で申請</t>
        </is>
      </c>
      <c r="E11" s="47" t="inlineStr">
        <is>
          <t>エッジケース</t>
        </is>
      </c>
      <c r="F11" s="41" t="inlineStr">
        <is>
          <t>staff@gmail.comでログイン</t>
        </is>
      </c>
      <c r="G11" s="41" t="inlineStr">
        <is>
          <t>1. staff@gmail.comでログイン
2. 新規申請 → カテゴリ: Other
3. タイトル: 'Edge Case Test - Large Amount'、優先度: Low、部署: QA
4. 品目追加: 'Large Amount Test Item' ×1、$999,999,999,999
5. 取引先: 'Test'、支払: 2026-05-01、Cash
6. 期限: 2026-04-30 17:00
7. 理由: 'Testing large amount handling'
8. 承認ルート確認 → 「申請を作成」</t>
        </is>
      </c>
      <c r="H11" s="41" t="inlineStr">
        <is>
          <t>システムが大きな数値を受け入れるか、最大金額のバリデーションを表示。クラッシュやデータ破損なし。</t>
        </is>
      </c>
      <c r="I11" s="41" t="inlineStr">
        <is>
          <t>(none)</t>
        </is>
      </c>
      <c r="J11" s="48" t="inlineStr">
        <is>
          <t>P3</t>
        </is>
      </c>
      <c r="K11" s="39" t="inlineStr">
        <is>
          <t>不合格</t>
        </is>
      </c>
      <c r="L11" s="50" t="inlineStr">
        <is>
          <t>https://jam.dev/c/e7cb4064-6b39-4b65-a1e8-e609eef7f6e5</t>
        </is>
      </c>
      <c r="M11" s="41" t="inlineStr">
        <is>
          <t>number overflow</t>
        </is>
      </c>
      <c r="N11" s="41" t="inlineStr">
        <is>
          <t>Spec 6.1 (申請)
→ "フォーム項目: Subject, Category (Purchasing, Contracts, Expenses, Misc.), Amount (tax incl./excl.), Tax category, Payment terms, Vendor/Counterparty, Purpose, Period, Budget code, Project, Desired approval date, Applicant/Department."</t>
        </is>
      </c>
      <c r="O11" s="3" t="n"/>
      <c r="P11" s="3" t="n"/>
      <c r="Q11" s="3" t="n"/>
      <c r="R11" s="3" t="n"/>
      <c r="S11" s="3" t="n"/>
      <c r="T11" s="3" t="n"/>
      <c r="U11" s="3" t="n"/>
      <c r="V11" s="3" t="n"/>
      <c r="W11" s="3" t="n"/>
      <c r="X11" s="3" t="n"/>
      <c r="Y11" s="3" t="n"/>
      <c r="Z11" s="3" t="n"/>
    </row>
    <row r="12" ht="60" customHeight="1" s="54">
      <c r="A12" s="35" t="inlineStr">
        <is>
          <t>KT-APR-001</t>
        </is>
      </c>
      <c r="B12" s="35" t="inlineStr">
        <is>
          <t>承認</t>
        </is>
      </c>
      <c r="C12" s="41" t="inlineStr">
        <is>
          <t>管理者が稟議を承認</t>
        </is>
      </c>
      <c r="D12" s="41" t="inlineStr">
        <is>
          <t>管理者が保留中の稟議を承認</t>
        </is>
      </c>
      <c r="E12" s="39" t="inlineStr">
        <is>
          <t>メイン</t>
        </is>
      </c>
      <c r="F12" s="41" t="inlineStr">
        <is>
          <t>保留中の申請が存在（スタッフが申請）</t>
        </is>
      </c>
      <c r="G12" s="41" t="inlineStr">
        <is>
          <t>1. Login manager@gmail.com at https://eb-filemg-development.vercel.app
2. Find pending ringi card on dashboard
3. Click card → detail /approval-requests/[id]
4. Review Details tab, then Files tab
5. Click green Approve button
6. (Optional) Notes: 'Approved - budget within Q1 allocation'
7. 「確認」をクリック
8. Switch to staff@gmail.com → verify 'Approved' on dashboard</t>
        </is>
      </c>
      <c r="H12" s="41" t="inlineStr">
        <is>
          <t>ステータスが変更される: 'Approved'. Recorded with timestamp in Timeline tab. Green CheckCircle icon. Staff sees 'Approved'.</t>
        </is>
      </c>
      <c r="I12" s="41" t="inlineStr">
        <is>
          <t>(none)</t>
        </is>
      </c>
      <c r="J12" s="38" t="inlineStr">
        <is>
          <t>P1</t>
        </is>
      </c>
      <c r="K12" s="39" t="inlineStr">
        <is>
          <t>不合格</t>
        </is>
      </c>
      <c r="L12" s="51" t="inlineStr">
        <is>
          <t>https://jam.dev/c/432754ce-879c-4937-a5a1-f315125385af</t>
        </is>
      </c>
      <c r="M12" s="41" t="inlineStr">
        <is>
          <t>There is glitch of approval with status and then it is empty
(but there is workaround to login as staff first and then logout and then login as manager)</t>
        </is>
      </c>
      <c r="N12" s="41" t="inlineStr">
        <is>
          <t>Spec 6.3 (承認操作)
→ "ステータス: Draft / Applying / Waiting for Approval (by stage) / Sent Back / Rejected / Approved / Expired."</t>
        </is>
      </c>
      <c r="O12" s="3" t="n"/>
      <c r="P12" s="3" t="n"/>
      <c r="Q12" s="3" t="n"/>
      <c r="R12" s="3" t="n"/>
      <c r="S12" s="3" t="n"/>
      <c r="T12" s="3" t="n"/>
      <c r="U12" s="3" t="n"/>
      <c r="V12" s="3" t="n"/>
      <c r="W12" s="3" t="n"/>
      <c r="X12" s="3" t="n"/>
      <c r="Y12" s="3" t="n"/>
      <c r="Z12" s="3" t="n"/>
    </row>
    <row r="13" ht="60" customHeight="1" s="54">
      <c r="A13" s="35" t="inlineStr">
        <is>
          <t>KT-APR-002</t>
        </is>
      </c>
      <c r="B13" s="35" t="inlineStr">
        <is>
          <t>承認</t>
        </is>
      </c>
      <c r="C13" s="41" t="inlineStr">
        <is>
          <t>管理者が理由付きで却下</t>
        </is>
      </c>
      <c r="D13" s="41" t="inlineStr">
        <is>
          <t>管理者が却下理由付きで稟議を却下</t>
        </is>
      </c>
      <c r="E13" s="39" t="inlineStr">
        <is>
          <t>メイン</t>
        </is>
      </c>
      <c r="F13" s="41" t="inlineStr">
        <is>
          <t>保留中の申請が存在</t>
        </is>
      </c>
      <c r="G13" s="41" t="inlineStr">
        <is>
          <t>1. Login manager@gmail.com
2. Find pending ringi → detail /approval-requests/[id]
3. Click red Reject button
4. Try submitting without reason → verify validation error
5. Enter: 'Budget exceeded for Q1. Please reduce or defer to Q2.'
6. 「確認」をクリック</t>
        </is>
      </c>
      <c r="H13" s="41" t="inlineStr">
        <is>
          <t>理由なしでバリデーションエラー。ステータス →「却下済み」XCircleアイコン付き。理由がタイムラインタブに表示。スタッフが却下理由を確認可能。</t>
        </is>
      </c>
      <c r="I13" s="41" t="inlineStr">
        <is>
          <t>(none)</t>
        </is>
      </c>
      <c r="J13" s="38" t="inlineStr">
        <is>
          <t>P1</t>
        </is>
      </c>
      <c r="K13" s="39" t="inlineStr">
        <is>
          <t>ブロック</t>
        </is>
      </c>
      <c r="L13" s="41" t="inlineStr">
        <is>
          <t>blocked of the KT-APR-001</t>
        </is>
      </c>
      <c r="M13" s="41" t="n"/>
      <c r="N13" s="41" t="inlineStr">
        <is>
          <t>Spec 6.3 (承認操作)
→ "差戻しと却下にはコメントが必須. 再申請時の差分メモ."</t>
        </is>
      </c>
      <c r="O13" s="3" t="n"/>
      <c r="P13" s="3" t="n"/>
      <c r="Q13" s="3" t="n"/>
      <c r="R13" s="3" t="n"/>
      <c r="S13" s="3" t="n"/>
      <c r="T13" s="3" t="n"/>
      <c r="U13" s="3" t="n"/>
      <c r="V13" s="3" t="n"/>
      <c r="W13" s="3" t="n"/>
      <c r="X13" s="3" t="n"/>
      <c r="Y13" s="3" t="n"/>
      <c r="Z13" s="3" t="n"/>
    </row>
    <row r="14" ht="60" customHeight="1" s="54">
      <c r="A14" s="35" t="inlineStr">
        <is>
          <t>KT-APR-003</t>
        </is>
      </c>
      <c r="B14" s="35" t="inlineStr">
        <is>
          <t>承認</t>
        </is>
      </c>
      <c r="C14" s="41" t="inlineStr">
        <is>
          <t>管理者が修正を依頼</t>
        </is>
      </c>
      <c r="D14" s="41" t="inlineStr">
        <is>
          <t>管理者が稟議を差戻し</t>
        </is>
      </c>
      <c r="E14" s="44" t="inlineStr">
        <is>
          <t>基本</t>
        </is>
      </c>
      <c r="F14" s="41" t="inlineStr">
        <is>
          <t>保留中の申請が存在</t>
        </is>
      </c>
      <c r="G14" s="41" t="inlineStr">
        <is>
          <t>1. Login manager@gmail.com
2. Open pending ringi detail /approval-requests/[id]
3. Click 'Request Revision' / 'Send Back'
4. Enter: 'Please add detailed cost breakdown and attach vendor quotation.'
5. 「確認」をクリック</t>
        </is>
      </c>
      <c r="H14" s="41" t="inlineStr">
        <is>
          <t>ステータス →「要修正」。フィードバックがタイムラインタブに保存。スタッフがフィードバックと編集オプションを確認可能。</t>
        </is>
      </c>
      <c r="I14" s="41" t="inlineStr">
        <is>
          <t>(none)</t>
        </is>
      </c>
      <c r="J14" s="45" t="inlineStr">
        <is>
          <t>P2</t>
        </is>
      </c>
      <c r="K14" s="39" t="inlineStr">
        <is>
          <t>ブロック</t>
        </is>
      </c>
      <c r="L14" s="41" t="inlineStr">
        <is>
          <t>blocked of the KT-APR-001</t>
        </is>
      </c>
      <c r="M14" s="41" t="n"/>
      <c r="N14" s="41" t="inlineStr">
        <is>
          <t>Spec 6.3 (承認操作)
→ "差戻しと却下にはコメントが必須. 再申請時の差分メモ."</t>
        </is>
      </c>
      <c r="O14" s="3" t="n"/>
      <c r="P14" s="3" t="n"/>
      <c r="Q14" s="3" t="n"/>
      <c r="R14" s="3" t="n"/>
      <c r="S14" s="3" t="n"/>
      <c r="T14" s="3" t="n"/>
      <c r="U14" s="3" t="n"/>
      <c r="V14" s="3" t="n"/>
      <c r="W14" s="3" t="n"/>
      <c r="X14" s="3" t="n"/>
      <c r="Y14" s="3" t="n"/>
      <c r="Z14" s="3" t="n"/>
    </row>
    <row r="15" ht="60" customHeight="1" s="54">
      <c r="A15" s="35" t="inlineStr">
        <is>
          <t>KT-APR-004</t>
        </is>
      </c>
      <c r="B15" s="35" t="inlineStr">
        <is>
          <t>承認</t>
        </is>
      </c>
      <c r="C15" s="41" t="inlineStr">
        <is>
          <t>スタッフが修正後再編集</t>
        </is>
      </c>
      <c r="D15" s="41" t="inlineStr">
        <is>
          <t>修正依頼後にスタッフが再編集・再申請</t>
        </is>
      </c>
      <c r="E15" s="44" t="inlineStr">
        <is>
          <t>基本</t>
        </is>
      </c>
      <c r="F15" s="41" t="inlineStr">
        <is>
          <t>「要修正」ステータスの申請</t>
        </is>
      </c>
      <c r="G15" s="41" t="inlineStr">
        <is>
          <t>1. Login staff@gmail.com
2. Find 'Need Revision' submission on dashboard
3. Open detail /approval-requests/[id] → 「編集」をクリック
4. Update Reason with cost breakdown, adjust amount/items
5. Click 再申請 / 保存</t>
        </is>
      </c>
      <c r="H15" s="41" t="inlineStr">
        <is>
          <t>Edit form loads with pre-filled data. Changes saved. ステータスが「保留中」に戻る for manager re-review.</t>
        </is>
      </c>
      <c r="I15" s="41" t="inlineStr">
        <is>
          <t>(none)</t>
        </is>
      </c>
      <c r="J15" s="45" t="inlineStr">
        <is>
          <t>P2</t>
        </is>
      </c>
      <c r="K15" s="39" t="inlineStr">
        <is>
          <t>ブロック</t>
        </is>
      </c>
      <c r="L15" s="41" t="inlineStr">
        <is>
          <t>blocked of the KT-APR-001</t>
        </is>
      </c>
      <c r="M15" s="41" t="n"/>
      <c r="N15" s="41" t="inlineStr">
        <is>
          <t>Spec 6.3 (承認操作)
→ "差戻しと却下にはコメントが必須. 再申請時の差分メモ."</t>
        </is>
      </c>
      <c r="O15" s="3" t="n"/>
      <c r="P15" s="3" t="n"/>
      <c r="Q15" s="3" t="n"/>
      <c r="R15" s="3" t="n"/>
      <c r="S15" s="3" t="n"/>
      <c r="T15" s="3" t="n"/>
      <c r="U15" s="3" t="n"/>
      <c r="V15" s="3" t="n"/>
      <c r="W15" s="3" t="n"/>
      <c r="X15" s="3" t="n"/>
      <c r="Y15" s="3" t="n"/>
      <c r="Z15" s="3" t="n"/>
    </row>
    <row r="16" ht="60" customHeight="1" s="54">
      <c r="A16" s="35" t="inlineStr">
        <is>
          <t>KT-APR-005</t>
        </is>
      </c>
      <c r="B16" s="35" t="inlineStr">
        <is>
          <t>承認</t>
        </is>
      </c>
      <c r="C16" s="41" t="inlineStr">
        <is>
          <t>スタッフの承認をブロック</t>
        </is>
      </c>
      <c r="D16" s="41" t="inlineStr">
        <is>
          <t>スタッフが承認を試行（ブロックされるべき）</t>
        </is>
      </c>
      <c r="E16" s="47" t="inlineStr">
        <is>
          <t>エッジケース</t>
        </is>
      </c>
      <c r="F16" s="41" t="inlineStr">
        <is>
          <t>保留中の申請が存在</t>
        </is>
      </c>
      <c r="G16" s="41" t="inlineStr">
        <is>
          <t>1. staff@gmail.comでログイン
2. 保留中の申請の詳細 /approval-requests/[id] を開く
3. ページ上の全アクションボタンを確認</t>
        </is>
      </c>
      <c r="H16" s="41" t="inlineStr">
        <is>
          <t>承認、却下、修正依頼ボタンが表示されない。スタッフは詳細、ファイル、タイムラインのみ閲覧可能。</t>
        </is>
      </c>
      <c r="I16" s="41" t="inlineStr">
        <is>
          <t>(none)</t>
        </is>
      </c>
      <c r="J16" s="38" t="inlineStr">
        <is>
          <t>P1</t>
        </is>
      </c>
      <c r="K16" s="39" t="inlineStr">
        <is>
          <t>合格</t>
        </is>
      </c>
      <c r="L16" s="52" t="inlineStr">
        <is>
          <t>https://jam.dev/c/ee692561-c9db-4fc1-9f6c-a9befb6953f0</t>
        </is>
      </c>
      <c r="M16" s="41" t="n"/>
      <c r="N16" s="41" t="inlineStr">
        <is>
          <t>Spec 6.7 (権限・セキュリティ)
→ "ロールベースアクセス制御: 起案者は自分の申請を編集/閲覧, 承認者は割り当てられた案件を操作, 管理者は全件閲覧し設定変更."</t>
        </is>
      </c>
      <c r="O16" s="3" t="n"/>
      <c r="P16" s="3" t="n"/>
      <c r="Q16" s="3" t="n"/>
      <c r="R16" s="3" t="n"/>
      <c r="S16" s="3" t="n"/>
      <c r="T16" s="3" t="n"/>
      <c r="U16" s="3" t="n"/>
      <c r="V16" s="3" t="n"/>
      <c r="W16" s="3" t="n"/>
      <c r="X16" s="3" t="n"/>
      <c r="Y16" s="3" t="n"/>
      <c r="Z16" s="3" t="n"/>
    </row>
    <row r="17" ht="60" customHeight="1" s="54">
      <c r="A17" s="35" t="inlineStr">
        <is>
          <t>KT-APR-006</t>
        </is>
      </c>
      <c r="B17" s="35" t="inlineStr">
        <is>
          <t>承認</t>
        </is>
      </c>
      <c r="C17" s="41" t="inlineStr">
        <is>
          <t>二重承認の試行</t>
        </is>
      </c>
      <c r="D17" s="41" t="inlineStr">
        <is>
          <t>承認済み稟議の二重承認を試行</t>
        </is>
      </c>
      <c r="E17" s="47" t="inlineStr">
        <is>
          <t>エッジケース</t>
        </is>
      </c>
      <c r="F17" s="41" t="inlineStr">
        <is>
          <t>承認済みの申請</t>
        </is>
      </c>
      <c r="G17" s="41" t="inlineStr">
        <is>
          <t>1. Login manager@gmail.com
2. Open already-approved submission /approval-requests/[id]
3. 確認する Approve/Reject buttons are still available</t>
        </is>
      </c>
      <c r="H17" s="41" t="inlineStr">
        <is>
          <t>承認済みの申請に承認/却下ボタンが利用不可。緑のCheckCircle付き「承認済み」。追加アクションなし。</t>
        </is>
      </c>
      <c r="I17" s="41" t="inlineStr">
        <is>
          <t>(none)</t>
        </is>
      </c>
      <c r="J17" s="48" t="inlineStr">
        <is>
          <t>P3</t>
        </is>
      </c>
      <c r="K17" s="39" t="inlineStr">
        <is>
          <t>ブロック</t>
        </is>
      </c>
      <c r="L17" s="41" t="n"/>
      <c r="M17" s="41" t="n"/>
      <c r="N17" s="41" t="inlineStr">
        <is>
          <t>Spec 6.3 (承認操作)
→ "ステータス: Draft / Applying / Waiting for Approval (by stage) / Sent Back / Rejected / Approved / Expired."</t>
        </is>
      </c>
      <c r="O17" s="3" t="n"/>
      <c r="P17" s="3" t="n"/>
      <c r="Q17" s="3" t="n"/>
      <c r="R17" s="3" t="n"/>
      <c r="S17" s="3" t="n"/>
      <c r="T17" s="3" t="n"/>
      <c r="U17" s="3" t="n"/>
      <c r="V17" s="3" t="n"/>
      <c r="W17" s="3" t="n"/>
      <c r="X17" s="3" t="n"/>
      <c r="Y17" s="3" t="n"/>
      <c r="Z17" s="3" t="n"/>
    </row>
    <row r="18" ht="60" customHeight="1" s="54">
      <c r="A18" s="35" t="inlineStr">
        <is>
          <t>KT-APR-007</t>
        </is>
      </c>
      <c r="B18" s="35" t="inlineStr">
        <is>
          <t>承認</t>
        </is>
      </c>
      <c r="C18" s="41" t="inlineStr">
        <is>
          <t>管理者の自己承認</t>
        </is>
      </c>
      <c r="D18" s="41" t="inlineStr">
        <is>
          <t>管理者が自分の稟議を承認しようとする</t>
        </is>
      </c>
      <c r="E18" s="47" t="inlineStr">
        <is>
          <t>エッジケース</t>
        </is>
      </c>
      <c r="F18" s="41" t="inlineStr">
        <is>
          <t>管理者が自分の稟議を申請済み</t>
        </is>
      </c>
      <c r="G18" s="41" t="inlineStr">
        <is>
          <t>1. manager@gmail.comでログイン
2. 新規申請 → カテゴリ: Other
3. タイトル: 'Manager Self-Approval Test'、優先度: Low、部署: Management
4. 取引先: 'Internal'、支払: 2026-05-01、Cash
5. 期限: 2026-04-30 17:00
6. 理由: 'Testing self-approval behavior'
7. 「申請を作成」で送信
8. ダッシュボードで自分の申請を見つける → 承認を試行</t>
        </is>
      </c>
      <c r="H18" s="41" t="inlineStr">
        <is>
          <t>実際の動作を記録: 自己承認が許可されるかブロックされるか？ブロック: 明確なエラー。許可: 正常に処理。</t>
        </is>
      </c>
      <c r="I18" s="41" t="inlineStr">
        <is>
          <t>(none)</t>
        </is>
      </c>
      <c r="J18" s="45" t="inlineStr">
        <is>
          <t>P2</t>
        </is>
      </c>
      <c r="K18" s="39" t="inlineStr">
        <is>
          <t>合格</t>
        </is>
      </c>
      <c r="L18" s="52" t="inlineStr">
        <is>
          <t>https://jam.dev/c/af2dced4-d706-4673-ac8d-6723520dce0f</t>
        </is>
      </c>
      <c r="M18" s="41" t="inlineStr">
        <is>
          <t>Clarify the Requirement</t>
        </is>
      </c>
      <c r="N18" s="41" t="inlineStr">
        <is>
          <t>Spec 6.3 (承認操作)
→ "ロールベースアクセス制御: 起案者は自分の申請を編集/閲覧, 承認者は割り当てられた案件を操作, 管理者は全件閲覧し設定変更."</t>
        </is>
      </c>
      <c r="O18" s="3" t="n"/>
      <c r="P18" s="3" t="n"/>
      <c r="Q18" s="3" t="n"/>
      <c r="R18" s="3" t="n"/>
      <c r="S18" s="3" t="n"/>
      <c r="T18" s="3" t="n"/>
      <c r="U18" s="3" t="n"/>
      <c r="V18" s="3" t="n"/>
      <c r="W18" s="3" t="n"/>
      <c r="X18" s="3" t="n"/>
      <c r="Y18" s="3" t="n"/>
      <c r="Z18" s="3" t="n"/>
    </row>
    <row r="19" ht="60" customHeight="1" s="54">
      <c r="A19" s="35" t="inlineStr">
        <is>
          <t>KT-APR-008</t>
        </is>
      </c>
      <c r="B19" s="35" t="inlineStr">
        <is>
          <t>承認</t>
        </is>
      </c>
      <c r="C19" s="41" t="inlineStr">
        <is>
          <t>ダッシュボードからクイック承認</t>
        </is>
      </c>
      <c r="D19" s="41" t="inlineStr">
        <is>
          <t>ダッシュボードカードからクイック承認</t>
        </is>
      </c>
      <c r="E19" s="44" t="inlineStr">
        <is>
          <t>基本</t>
        </is>
      </c>
      <c r="F19" s="41" t="inlineStr">
        <is>
          <t>ダッシュボードに保留中の申請が表示</t>
        </is>
      </c>
      <c r="G19" s="41" t="inlineStr">
        <is>
          <t>1. Login manager@gmail.com
2. Go to dashboard
3. Find pending ringi card
4. を探す quick-approve action on card itself
5. If available, use quick-approve without opening detail</t>
        </is>
      </c>
      <c r="H19" s="41" t="inlineStr">
        <is>
          <t>カードにクイック承認アクションあり（実装されている場合）。ダッシュボードからの承認が成功。ステータスが即座に更新。</t>
        </is>
      </c>
      <c r="I19" s="41" t="inlineStr">
        <is>
          <t>(none)</t>
        </is>
      </c>
      <c r="J19" s="45" t="inlineStr">
        <is>
          <t>P2</t>
        </is>
      </c>
      <c r="K19" s="39" t="inlineStr">
        <is>
          <t>合格</t>
        </is>
      </c>
      <c r="L19" s="41" t="n"/>
      <c r="M19" s="41" t="n"/>
      <c r="N19" s="41" t="inlineStr">
        <is>
          <t>Spec 6.4 (チャット連携), Spec 9 (UI/UX)
→ "チャットカードから承認/差戻し."</t>
        </is>
      </c>
      <c r="O19" s="3" t="n"/>
      <c r="P19" s="3" t="n"/>
      <c r="Q19" s="3" t="n"/>
      <c r="R19" s="3" t="n"/>
      <c r="S19" s="3" t="n"/>
      <c r="T19" s="3" t="n"/>
      <c r="U19" s="3" t="n"/>
      <c r="V19" s="3" t="n"/>
      <c r="W19" s="3" t="n"/>
      <c r="X19" s="3" t="n"/>
      <c r="Y19" s="3" t="n"/>
      <c r="Z19" s="3" t="n"/>
    </row>
    <row r="20" ht="60" customHeight="1" s="54">
      <c r="A20" s="35" t="inlineStr">
        <is>
          <t>KT-AIC-001</t>
        </is>
      </c>
      <c r="B20" s="35" t="inlineStr">
        <is>
          <t>AIチャット</t>
        </is>
      </c>
      <c r="C20" s="41" t="inlineStr">
        <is>
          <t>AIで稟議作成（英語）</t>
        </is>
      </c>
      <c r="D20" s="41" t="inlineStr">
        <is>
          <t>AIに英語で自然言語から稟議作成を依頼</t>
        </is>
      </c>
      <c r="E20" s="39" t="inlineStr">
        <is>
          <t>メイン</t>
        </is>
      </c>
      <c r="F20" s="41" t="inlineStr">
        <is>
          <t>staff@gmail.comでログイン</t>
        </is>
      </c>
      <c r="G20" s="41" t="inlineStr">
        <is>
          <t>1. staff@gmail.comでログイン
2. https://eb-filemg-development.vercel.app/ （新規チャット）にアクセス
3. 入力: "Create a ringi for purchasing 10 office laptops, total cost $15,000"
4. 送信してAI応答を待つ</t>
        </is>
      </c>
      <c r="H20" s="41" t="inlineStr">
        <is>
          <t>AIがタイトル、説明、金額（$15,000）を含む稟議ドラフトを生成。応答は英語。チャットスレッドが作成される（/c/[threadId]）。</t>
        </is>
      </c>
      <c r="I20" s="41" t="inlineStr">
        <is>
          <t>(none)</t>
        </is>
      </c>
      <c r="J20" s="38" t="inlineStr">
        <is>
          <t>P1</t>
        </is>
      </c>
      <c r="K20" s="39" t="inlineStr">
        <is>
          <t>一部合格</t>
        </is>
      </c>
      <c r="L20" s="52" t="inlineStr">
        <is>
          <t>https://jam.dev/c/3ff23937-7197-4d13-9381-65ef837e3113</t>
        </is>
      </c>
      <c r="M20" s="41" t="inlineStr">
        <is>
          <t>AI generate pending, but not Draft
it lead to user cannot edit the ringi
when use try to edit the ringi, it got bugs</t>
        </is>
      </c>
      <c r="N20" s="41" t="inlineStr">
        <is>
          <t>Spec 5 (業務フロー), Spec 6.1, Spec 6.4
→ "起案者がチャットから稟議起案フォームを開き、必要項目と添付を入力して送信."</t>
        </is>
      </c>
      <c r="O20" s="3" t="n"/>
      <c r="P20" s="3" t="n"/>
      <c r="Q20" s="3" t="n"/>
      <c r="R20" s="3" t="n"/>
      <c r="S20" s="3" t="n"/>
      <c r="T20" s="3" t="n"/>
      <c r="U20" s="3" t="n"/>
      <c r="V20" s="3" t="n"/>
      <c r="W20" s="3" t="n"/>
      <c r="X20" s="3" t="n"/>
      <c r="Y20" s="3" t="n"/>
      <c r="Z20" s="3" t="n"/>
    </row>
    <row r="21" ht="60" customHeight="1" s="54">
      <c r="A21" s="35" t="inlineStr">
        <is>
          <t>KT-AIC-002</t>
        </is>
      </c>
      <c r="B21" s="35" t="inlineStr">
        <is>
          <t>AIチャット</t>
        </is>
      </c>
      <c r="C21" s="41" t="inlineStr">
        <is>
          <t>AIで稟議作成（日本語）</t>
        </is>
      </c>
      <c r="D21" s="41" t="inlineStr">
        <is>
          <t>AIに日本語で自然言語から稟議作成を依頼</t>
        </is>
      </c>
      <c r="E21" s="39" t="inlineStr">
        <is>
          <t>メイン</t>
        </is>
      </c>
      <c r="F21" s="41" t="inlineStr">
        <is>
          <t>staff@gmail.comでログイン</t>
        </is>
      </c>
      <c r="G21" s="41" t="inlineStr">
        <is>
          <t>1. Login staff@gmail.com
2. Go to new chat at /
3. Type: "ノートPC10台購入の稟議書を作成してください。合計金額150万円"
4. Send and wait for AI response</t>
        </is>
      </c>
      <c r="H21" s="41" t="inlineStr">
        <is>
          <t>AI generates ringi draft in Japanese with appropriate title and amount (¥1,500,000 / 150万円).</t>
        </is>
      </c>
      <c r="I21" s="41" t="inlineStr">
        <is>
          <t>(none)</t>
        </is>
      </c>
      <c r="J21" s="38" t="inlineStr">
        <is>
          <t>P1</t>
        </is>
      </c>
      <c r="K21" s="39" t="inlineStr">
        <is>
          <t>一部合格</t>
        </is>
      </c>
      <c r="L21" s="53" t="inlineStr">
        <is>
          <t>https://jam.dev/c/37d7d204-3527-4e40-aad0-e51fab33d42a</t>
        </is>
      </c>
      <c r="M21" s="41" t="inlineStr">
        <is>
          <t>AI generate pending, but not Draft
it lead to user cannot edit the ringi
it got asking again and again same things</t>
        </is>
      </c>
      <c r="N21" s="41" t="inlineStr">
        <is>
          <t>Spec 5 (業務フロー), Spec 6.1, Spec 6.4
→ "起案者がチャットから稟議起案フォームを開き、必要項目と添付を入力して送信."</t>
        </is>
      </c>
      <c r="O21" s="3" t="n"/>
      <c r="P21" s="3" t="n"/>
      <c r="Q21" s="3" t="n"/>
      <c r="R21" s="3" t="n"/>
      <c r="S21" s="3" t="n"/>
      <c r="T21" s="3" t="n"/>
      <c r="U21" s="3" t="n"/>
      <c r="V21" s="3" t="n"/>
      <c r="W21" s="3" t="n"/>
      <c r="X21" s="3" t="n"/>
      <c r="Y21" s="3" t="n"/>
      <c r="Z21" s="3" t="n"/>
    </row>
    <row r="22" ht="60" customHeight="1" s="54">
      <c r="A22" s="35" t="inlineStr">
        <is>
          <t>KT-AIC-003</t>
        </is>
      </c>
      <c r="B22" s="35" t="inlineStr">
        <is>
          <t>AIチャット</t>
        </is>
      </c>
      <c r="C22" s="41" t="inlineStr">
        <is>
          <t>ドキュメントアップロード＋AI要約</t>
        </is>
      </c>
      <c r="D22" s="41" t="inlineStr">
        <is>
          <t>稟議ドキュメントをアップロードしAIに要約を依頼</t>
        </is>
      </c>
      <c r="E22" s="44" t="inlineStr">
        <is>
          <t>基本</t>
        </is>
      </c>
      <c r="F22" s="41" t="inlineStr">
        <is>
          <t>staff@gmail.comでログイン</t>
        </is>
      </c>
      <c r="G22" s="41" t="inlineStr">
        <is>
          <t>1. Login staff@gmail.com
2. Go to new chat at /
3. Click paperclip → select ringi_en_detailed_license_renewal.docx
4. 確認する file appears as attachment preview
5. Type: "Please summarize this ringi document"
6. Send and wait for response</t>
        </is>
      </c>
      <c r="H22" s="41" t="inlineStr">
        <is>
          <t>AIがドキュメントを処理。要約にAdobe CC / ライセンス更新、$12,500、Sales部門またはHanako Suzukiが言及される。内容に正確。</t>
        </is>
      </c>
      <c r="I22" s="41" t="inlineStr">
        <is>
          <t>ringi_en_detailed_license_renewal.docx</t>
        </is>
      </c>
      <c r="J22" s="38" t="inlineStr">
        <is>
          <t>P1</t>
        </is>
      </c>
      <c r="K22" s="39" t="inlineStr">
        <is>
          <t>合格</t>
        </is>
      </c>
      <c r="L22" s="52" t="inlineStr">
        <is>
          <t>https://jam.dev/c/d1706ed5-abf0-4a53-b19d-a1368e703521</t>
        </is>
      </c>
      <c r="M22" s="41" t="n"/>
      <c r="N22" s="41" t="inlineStr">
        <is>
          <t>Spec 6.1, Spec 6.4 (チャット連携)
→ "コンテキスト入力支援: チャットメッセージを要約してフォーム初期値を提案."</t>
        </is>
      </c>
      <c r="O22" s="3" t="n"/>
      <c r="P22" s="3" t="n"/>
      <c r="Q22" s="3" t="n"/>
      <c r="R22" s="3" t="n"/>
      <c r="S22" s="3" t="n"/>
      <c r="T22" s="3" t="n"/>
      <c r="U22" s="3" t="n"/>
      <c r="V22" s="3" t="n"/>
      <c r="W22" s="3" t="n"/>
      <c r="X22" s="3" t="n"/>
      <c r="Y22" s="3" t="n"/>
      <c r="Z22" s="3" t="n"/>
    </row>
    <row r="23" ht="60" customHeight="1" s="54">
      <c r="A23" s="35" t="inlineStr">
        <is>
          <t>KT-AIC-004</t>
        </is>
      </c>
      <c r="B23" s="35" t="inlineStr">
        <is>
          <t>AIチャット</t>
        </is>
      </c>
      <c r="C23" s="41" t="inlineStr">
        <is>
          <t>日本語でドキュメントについて質問</t>
        </is>
      </c>
      <c r="D23" s="41" t="inlineStr">
        <is>
          <t>日本語でアップロードしたドキュメントについてAIに質問</t>
        </is>
      </c>
      <c r="E23" s="44" t="inlineStr">
        <is>
          <t>基本</t>
        </is>
      </c>
      <c r="F23" s="41" t="inlineStr">
        <is>
          <t>staff@gmail.comでログイン</t>
        </is>
      </c>
      <c r="G23" s="41" t="inlineStr">
        <is>
          <t>1. Login staff@gmail.com
2. Go to new chat at /
3. Click paperclip → select ringi_jp_standard_salesforce.docx
4. Type: "この稟議書の内容を教えてください"
5. Send and review response</t>
        </is>
      </c>
      <c r="H23" s="41" t="inlineStr">
        <is>
          <t>AI responds in Japanese. Summary mentions Salesforce / 営業支援ツール, ¥4,100,000, 営業部 or 鈴木花子.</t>
        </is>
      </c>
      <c r="I23" s="41" t="inlineStr">
        <is>
          <t>ringi_jp_standard_salesforce.docx</t>
        </is>
      </c>
      <c r="J23" s="45" t="inlineStr">
        <is>
          <t>P2</t>
        </is>
      </c>
      <c r="K23" s="39" t="inlineStr">
        <is>
          <t>合格</t>
        </is>
      </c>
      <c r="L23" s="51" t="inlineStr">
        <is>
          <t>https://jam.dev/c/40723d7b-aae3-47e5-81e3-d83304091945</t>
        </is>
      </c>
      <c r="M23" s="41" t="inlineStr">
        <is>
          <t>there is UI glitch, also the loader is not appeared</t>
        </is>
      </c>
      <c r="N23" s="41" t="inlineStr">
        <is>
          <t>Spec 6.1, Spec 6.4 (チャット連携)
→ "コンテキスト入力支援: チャットメッセージを要約してフォーム初期値を提案."</t>
        </is>
      </c>
      <c r="O23" s="3" t="n"/>
      <c r="P23" s="3" t="n"/>
      <c r="Q23" s="3" t="n"/>
      <c r="R23" s="3" t="n"/>
      <c r="S23" s="3" t="n"/>
      <c r="T23" s="3" t="n"/>
      <c r="U23" s="3" t="n"/>
      <c r="V23" s="3" t="n"/>
      <c r="W23" s="3" t="n"/>
      <c r="X23" s="3" t="n"/>
      <c r="Y23" s="3" t="n"/>
      <c r="Z23" s="3" t="n"/>
    </row>
    <row r="24" ht="60" customHeight="1" s="54">
      <c r="A24" s="35" t="inlineStr">
        <is>
          <t>KT-AIC-005</t>
        </is>
      </c>
      <c r="B24" s="35" t="inlineStr">
        <is>
          <t>AIチャット</t>
        </is>
      </c>
      <c r="C24" s="41" t="inlineStr">
        <is>
          <t>稟議用に画像をアップロード</t>
        </is>
      </c>
      <c r="D24" s="41" t="inlineStr">
        <is>
          <t>ビーチ画像をアップロードしAIに稟議作成を依頼</t>
        </is>
      </c>
      <c r="E24" s="47" t="inlineStr">
        <is>
          <t>エッジケース</t>
        </is>
      </c>
      <c r="F24" s="41" t="inlineStr">
        <is>
          <t>staff@gmail.comでログイン</t>
        </is>
      </c>
      <c r="G24" s="41" t="inlineStr">
        <is>
          <t>1. staff@gmail.comでログイン
2. / で新規チャットにアクセス
3. ペーパークリップ → edge_beach_image.jpg（ビーチ写真）を選択
4. 入力: "Create a ringi from this document"
5. 送信して応答を確認</t>
        </is>
      </c>
      <c r="H24" s="41" t="inlineStr">
        <is>
          <t>AIがクラッシュしない。ファイルが有効な稟議ドキュメントでないか、画像から情報を抽出できないことを示す。適切な応答。</t>
        </is>
      </c>
      <c r="I24" s="41" t="inlineStr">
        <is>
          <t>edge_beach_image.jpg</t>
        </is>
      </c>
      <c r="J24" s="45" t="inlineStr">
        <is>
          <t>P2</t>
        </is>
      </c>
      <c r="K24" s="39" t="inlineStr">
        <is>
          <t>合格</t>
        </is>
      </c>
      <c r="L24" s="52" t="inlineStr">
        <is>
          <t>https://jam.dev/c/f573209c-c362-421e-8cb7-e5367245fd4a</t>
        </is>
      </c>
      <c r="M24" s="41" t="n"/>
      <c r="N24" s="41" t="inlineStr">
        <is>
          <t>Spec 6.1, Spec 6.4 (チャット連携)
→ "添付ファイル: Quotes, contracts, and related materials. 承認後の改ざん不可（新バージョンとして再申請が必要）."</t>
        </is>
      </c>
      <c r="O24" s="3" t="n"/>
      <c r="P24" s="3" t="n"/>
      <c r="Q24" s="3" t="n"/>
      <c r="R24" s="3" t="n"/>
      <c r="S24" s="3" t="n"/>
      <c r="T24" s="3" t="n"/>
      <c r="U24" s="3" t="n"/>
      <c r="V24" s="3" t="n"/>
      <c r="W24" s="3" t="n"/>
      <c r="X24" s="3" t="n"/>
      <c r="Y24" s="3" t="n"/>
      <c r="Z24" s="3" t="n"/>
    </row>
    <row r="25" ht="60" customHeight="1" s="54">
      <c r="A25" s="35" t="inlineStr">
        <is>
          <t>KT-AIC-006</t>
        </is>
      </c>
      <c r="B25" s="35" t="inlineStr">
        <is>
          <t>AIチャット</t>
        </is>
      </c>
      <c r="C25" s="41" t="inlineStr">
        <is>
          <t>無関係な質問</t>
        </is>
      </c>
      <c r="D25" s="41" t="inlineStr">
        <is>
          <t>無関係な質問やでたらめをAIに送信</t>
        </is>
      </c>
      <c r="E25" s="47" t="inlineStr">
        <is>
          <t>エッジケース</t>
        </is>
      </c>
      <c r="F25" s="41" t="inlineStr">
        <is>
          <t>staff@gmail.comでログイン</t>
        </is>
      </c>
      <c r="G25" s="41" t="inlineStr">
        <is>
          <t>1. staff@gmail.comでログイン
2. / で新規チャットにアクセス
3. 入力: "asdfghjkl what is the weather today?"
4. 送信して応答を確認</t>
        </is>
      </c>
      <c r="H25" s="41" t="inlineStr">
        <is>
          <t>AIがクラッシュせずに応答。稟議関連のヘルプにリダイレクトするか、スコープについて丁寧に応答。</t>
        </is>
      </c>
      <c r="I25" s="41" t="inlineStr">
        <is>
          <t>(none)</t>
        </is>
      </c>
      <c r="J25" s="48" t="inlineStr">
        <is>
          <t>P3</t>
        </is>
      </c>
      <c r="K25" s="39" t="inlineStr">
        <is>
          <t>合格</t>
        </is>
      </c>
      <c r="L25" s="52" t="inlineStr">
        <is>
          <t>https://jam.dev/c/aea773c3-1e12-4378-9647-a6ae532b19d8</t>
        </is>
      </c>
      <c r="M25" s="41" t="n"/>
      <c r="N25" s="41" t="inlineStr">
        <is>
          <t>Spec 6.4 (チャット連携)
→ "コンテキスト入力支援: チャットメッセージを要約してフォーム初期値を提案."</t>
        </is>
      </c>
      <c r="O25" s="3" t="n"/>
      <c r="P25" s="3" t="n"/>
      <c r="Q25" s="3" t="n"/>
      <c r="R25" s="3" t="n"/>
      <c r="S25" s="3" t="n"/>
      <c r="T25" s="3" t="n"/>
      <c r="U25" s="3" t="n"/>
      <c r="V25" s="3" t="n"/>
      <c r="W25" s="3" t="n"/>
      <c r="X25" s="3" t="n"/>
      <c r="Y25" s="3" t="n"/>
      <c r="Z25" s="3" t="n"/>
    </row>
    <row r="26" ht="60" customHeight="1" s="54">
      <c r="A26" s="35" t="inlineStr">
        <is>
          <t>KT-AIC-007</t>
        </is>
      </c>
      <c r="B26" s="35" t="inlineStr">
        <is>
          <t>AIチャット</t>
        </is>
      </c>
      <c r="C26" s="41" t="inlineStr">
        <is>
          <t>非稟議ドキュメントで申請</t>
        </is>
      </c>
      <c r="D26" s="41" t="inlineStr">
        <is>
          <t>非稟議ドキュメントをアップロードし申請作成を依頼</t>
        </is>
      </c>
      <c r="E26" s="47" t="inlineStr">
        <is>
          <t>エッジケース</t>
        </is>
      </c>
      <c r="F26" s="41" t="inlineStr">
        <is>
          <t>staff@gmail.comでログイン</t>
        </is>
      </c>
      <c r="G26" s="41" t="inlineStr">
        <is>
          <t>1. staff@gmail.comでログイン
2. / で新規チャットにアクセス
3. ペーパークリップ → edge_large_file.pdf（稟議以外のコンテンツ）を選択
4. 入力: "Create a ringi submission from this"
5. 送信して応答を確認</t>
        </is>
      </c>
      <c r="H26" s="41" t="inlineStr">
        <is>
          <t>AIがドキュメントを処理。可能な限り情報を抽出するか、稟議データがないことを示す。適切な応答。</t>
        </is>
      </c>
      <c r="I26" s="41" t="inlineStr">
        <is>
          <t>edge_large_file.pdf</t>
        </is>
      </c>
      <c r="J26" s="45" t="inlineStr">
        <is>
          <t>P2</t>
        </is>
      </c>
      <c r="K26" s="39" t="inlineStr">
        <is>
          <t>合格</t>
        </is>
      </c>
      <c r="L26" s="52" t="inlineStr">
        <is>
          <t>https://jam.dev/c/fa7689ce-95ec-4753-9c3c-7150f4b6a62a</t>
        </is>
      </c>
      <c r="M26" s="41" t="n"/>
      <c r="N26" s="41" t="inlineStr">
        <is>
          <t>Spec 6.1, Spec 6.4 (チャット連携)
→ "コンテキスト入力支援: チャットメッセージを要約してフォーム初期値を提案."</t>
        </is>
      </c>
      <c r="O26" s="3" t="n"/>
      <c r="P26" s="3" t="n"/>
      <c r="Q26" s="3" t="n"/>
      <c r="R26" s="3" t="n"/>
      <c r="S26" s="3" t="n"/>
      <c r="T26" s="3" t="n"/>
      <c r="U26" s="3" t="n"/>
      <c r="V26" s="3" t="n"/>
      <c r="W26" s="3" t="n"/>
      <c r="X26" s="3" t="n"/>
      <c r="Y26" s="3" t="n"/>
      <c r="Z26" s="3" t="n"/>
    </row>
    <row r="27" ht="60" customHeight="1" s="54">
      <c r="A27" s="35" t="inlineStr">
        <is>
          <t>KT-AIC-008</t>
        </is>
      </c>
      <c r="B27" s="35" t="inlineStr">
        <is>
          <t>AIチャット</t>
        </is>
      </c>
      <c r="C27" s="41" t="inlineStr">
        <is>
          <t>複数ターンの会話</t>
        </is>
      </c>
      <c r="D27" s="41" t="inlineStr">
        <is>
          <t>複数ターンの会話で段階的に稟議を構築</t>
        </is>
      </c>
      <c r="E27" s="44" t="inlineStr">
        <is>
          <t>基本</t>
        </is>
      </c>
      <c r="F27" s="41" t="inlineStr">
        <is>
          <t>staff@gmail.comでログイン</t>
        </is>
      </c>
      <c r="G27" s="41" t="inlineStr">
        <is>
          <t>1. Login staff@gmail.com
2. Go to new chat at /
3. Msg 1: "I need to create a ringi for purchasing new office furniture"
4. を待つ response
5. Msg 2: "The budget is $8,000 for 10 standing desks from IKEA"
6. を待つ response
7. Msg 3: "Please finalize with department 'Operations' and requestor 'John Smith'"
8. Review final output</t>
        </is>
      </c>
      <c r="H27" s="41" t="inlineStr">
        <is>
          <t>AIが3ターンにわたりコンテキストを維持。最終稟議: 家具、$8,000、スタンディングデスク10台、IKEA、Operations、John Smith。同じスレッドURL。</t>
        </is>
      </c>
      <c r="I27" s="41" t="inlineStr">
        <is>
          <t>(none)</t>
        </is>
      </c>
      <c r="J27" s="45" t="inlineStr">
        <is>
          <t>P2</t>
        </is>
      </c>
      <c r="K27" s="39" t="inlineStr">
        <is>
          <t>一部合格</t>
        </is>
      </c>
      <c r="L27" s="52" t="inlineStr">
        <is>
          <t>https://jam.dev/c/3517856c-1367-41bc-af8b-43a0a096d508</t>
        </is>
      </c>
      <c r="M27" s="41" t="inlineStr">
        <is>
          <t>should comply with minimum required fields</t>
        </is>
      </c>
      <c r="N27" s="41" t="inlineStr">
        <is>
          <t>Spec 5 (業務フロー), Spec 6.4
→ "起案者がチャットから稟議起案フォームを開き、必要項目と添付を入力して送信."</t>
        </is>
      </c>
      <c r="O27" s="3" t="n"/>
      <c r="P27" s="3" t="n"/>
      <c r="Q27" s="3" t="n"/>
      <c r="R27" s="3" t="n"/>
      <c r="S27" s="3" t="n"/>
      <c r="T27" s="3" t="n"/>
      <c r="U27" s="3" t="n"/>
      <c r="V27" s="3" t="n"/>
      <c r="W27" s="3" t="n"/>
      <c r="X27" s="3" t="n"/>
      <c r="Y27" s="3" t="n"/>
      <c r="Z27" s="3" t="n"/>
    </row>
    <row r="28" ht="60" customHeight="1" s="54">
      <c r="A28" s="35" t="inlineStr">
        <is>
          <t>KT-AIR-001</t>
        </is>
      </c>
      <c r="B28" s="35" t="inlineStr">
        <is>
          <t>AI検索</t>
        </is>
      </c>
      <c r="C28" s="41" t="inlineStr">
        <is>
          <t>申請ステータスを質問（英語）</t>
        </is>
      </c>
      <c r="D28" s="41" t="inlineStr">
        <is>
          <t>AIに英語で特定の申請ステータスを質問</t>
        </is>
      </c>
      <c r="E28" s="39" t="inlineStr">
        <is>
          <t>メイン</t>
        </is>
      </c>
      <c r="F28" s="41" t="inlineStr">
        <is>
          <t>スタッフに既存の申請がある</t>
        </is>
      </c>
      <c r="G28" s="41" t="inlineStr">
        <is>
          <t>1. staff@gmail.comでログイン（既存の申請あり）
2. 既存の申請タイトルを確認（例: 'Annual Software License Renewal'）
3. / で新規チャットにアクセス
4. 入力: "What is the status of 'Annual Software License Renewal'?"
5. 送信して応答を確認</t>
        </is>
      </c>
      <c r="H28" s="41" t="inlineStr">
        <is>
          <t>AIが正しい申請を取得。現在のステータス（保留中/承認済みなど）を報告。情報がダッシュボードと一致。SearchResultsCardが表示される場合あり。</t>
        </is>
      </c>
      <c r="I28" s="41" t="inlineStr">
        <is>
          <t>(none)</t>
        </is>
      </c>
      <c r="J28" s="38" t="inlineStr">
        <is>
          <t>P1</t>
        </is>
      </c>
      <c r="K28" s="39" t="inlineStr">
        <is>
          <t>一部合格</t>
        </is>
      </c>
      <c r="L28" s="52" t="inlineStr">
        <is>
          <t>https://jam.dev/c/6dfb78f5-bb0d-4d70-a03a-929b74ae0e49</t>
        </is>
      </c>
      <c r="M28" s="41" t="inlineStr">
        <is>
          <t>it show the correct summary, yet files shown pending submssion are too manies</t>
        </is>
      </c>
      <c r="N28" s="41" t="inlineStr">
        <is>
          <t>Spec 6.5 (検索・参照)
→ "稟議ID、件名、申請者、部門、金額範囲、ステータス、期間で検索/フィルタ."</t>
        </is>
      </c>
      <c r="O28" s="3" t="n"/>
      <c r="P28" s="3" t="n"/>
      <c r="Q28" s="3" t="n"/>
      <c r="R28" s="3" t="n"/>
      <c r="S28" s="3" t="n"/>
      <c r="T28" s="3" t="n"/>
      <c r="U28" s="3" t="n"/>
      <c r="V28" s="3" t="n"/>
      <c r="W28" s="3" t="n"/>
      <c r="X28" s="3" t="n"/>
      <c r="Y28" s="3" t="n"/>
      <c r="Z28" s="3" t="n"/>
    </row>
    <row r="29" ht="60" customHeight="1" s="54">
      <c r="A29" s="35" t="inlineStr">
        <is>
          <t>KT-AIR-002</t>
        </is>
      </c>
      <c r="B29" s="35" t="inlineStr">
        <is>
          <t>AI検索</t>
        </is>
      </c>
      <c r="C29" s="41" t="inlineStr">
        <is>
          <t>名前でドキュメントを検索</t>
        </is>
      </c>
      <c r="D29" s="41" t="inlineStr">
        <is>
          <t>AIに名前でドキュメント/申請を検索依頼</t>
        </is>
      </c>
      <c r="E29" s="39" t="inlineStr">
        <is>
          <t>メイン</t>
        </is>
      </c>
      <c r="F29" s="41" t="inlineStr">
        <is>
          <t>システムにドキュメントが存在</t>
        </is>
      </c>
      <c r="G29" s="41" t="inlineStr">
        <is>
          <t>1. staff@gmail.comでログイン
2. / で新規チャットにアクセス
3. 入力: "Find the document called 'Dell 4K Monitor Purchase for Development Team'"
4. 送信して応答を確認</t>
        </is>
      </c>
      <c r="H29" s="41" t="inlineStr">
        <is>
          <t>AIが申請を検索。ステータス、日付、金額情報を提供。Open/Shareボタン付きファイルカードのSearchResultsCard。</t>
        </is>
      </c>
      <c r="I29" s="41" t="inlineStr">
        <is>
          <t>(none)</t>
        </is>
      </c>
      <c r="J29" s="38" t="inlineStr">
        <is>
          <t>P1</t>
        </is>
      </c>
      <c r="K29" s="39" t="inlineStr">
        <is>
          <t>不合格</t>
        </is>
      </c>
      <c r="L29" s="52" t="inlineStr">
        <is>
          <t>https://jam.dev/c/07e3abd6-675a-4cbd-b172-39321f9f55ec</t>
        </is>
      </c>
      <c r="M29" s="41" t="inlineStr">
        <is>
          <t>search about monitor yet not shown</t>
        </is>
      </c>
      <c r="N29" s="41" t="inlineStr">
        <is>
          <t>Spec 6.5 (検索・参照)
→ "稟議ID、件名、申請者、部門、金額範囲、ステータス、期間で検索/フィルタ."</t>
        </is>
      </c>
      <c r="O29" s="3" t="n"/>
      <c r="P29" s="3" t="n"/>
      <c r="Q29" s="3" t="n"/>
      <c r="R29" s="3" t="n"/>
      <c r="S29" s="3" t="n"/>
      <c r="T29" s="3" t="n"/>
      <c r="U29" s="3" t="n"/>
      <c r="V29" s="3" t="n"/>
      <c r="W29" s="3" t="n"/>
      <c r="X29" s="3" t="n"/>
      <c r="Y29" s="3" t="n"/>
      <c r="Z29" s="3" t="n"/>
    </row>
    <row r="30" ht="60" customHeight="1" s="54">
      <c r="A30" s="35" t="inlineStr">
        <is>
          <t>KT-AIR-003</t>
        </is>
      </c>
      <c r="B30" s="35" t="inlineStr">
        <is>
          <t>AI検索</t>
        </is>
      </c>
      <c r="C30" s="41" t="inlineStr">
        <is>
          <t>申請ステータスを確認</t>
        </is>
      </c>
      <c r="D30" s="41" t="inlineStr">
        <is>
          <t>AIに申請ステータスの確認を依頼</t>
        </is>
      </c>
      <c r="E30" s="44" t="inlineStr">
        <is>
          <t>基本</t>
        </is>
      </c>
      <c r="F30" s="41" t="inlineStr">
        <is>
          <t>スタッフに申請がある</t>
        </is>
      </c>
      <c r="G30" s="41" t="inlineStr">
        <is>
          <t>1. staff@gmail.comでログイン（複数の申請あり）
2. / で新規チャットにアクセス
3. 入力: "Review and check my submission status"
4. 送信して応答を確認</t>
        </is>
      </c>
      <c r="H30" s="41" t="inlineStr">
        <is>
          <t>AIがスタッフの申請を現在のステータスと共に一覧表示。リストが / のダッシュボードと一致。</t>
        </is>
      </c>
      <c r="I30" s="41" t="inlineStr">
        <is>
          <t>(none)</t>
        </is>
      </c>
      <c r="J30" s="45" t="inlineStr">
        <is>
          <t>P2</t>
        </is>
      </c>
      <c r="K30" s="39" t="inlineStr">
        <is>
          <t>合格</t>
        </is>
      </c>
      <c r="L30" s="53" t="inlineStr">
        <is>
          <t>https://jam.dev/c/d1931bae-8fb2-47b1-81f8-e6b126a3675b</t>
        </is>
      </c>
      <c r="M30" s="41" t="inlineStr">
        <is>
          <t>but should be have pagination like to avoid long time, if many files
also the numbering shown always 1 (which is bug)</t>
        </is>
      </c>
      <c r="N30" s="41" t="inlineStr">
        <is>
          <t>Spec 6.5 (検索・参照)
→ "稟議ID、件名、申請者、部門、金額範囲、ステータス、期間で検索/フィルタ."</t>
        </is>
      </c>
      <c r="O30" s="3" t="n"/>
      <c r="P30" s="3" t="n"/>
      <c r="Q30" s="3" t="n"/>
      <c r="R30" s="3" t="n"/>
      <c r="S30" s="3" t="n"/>
      <c r="T30" s="3" t="n"/>
      <c r="U30" s="3" t="n"/>
      <c r="V30" s="3" t="n"/>
      <c r="W30" s="3" t="n"/>
      <c r="X30" s="3" t="n"/>
      <c r="Y30" s="3" t="n"/>
      <c r="Z30" s="3" t="n"/>
    </row>
    <row r="31" ht="60" customHeight="1" s="54">
      <c r="A31" s="35" t="inlineStr">
        <is>
          <t>KT-AIR-004</t>
        </is>
      </c>
      <c r="B31" s="35" t="inlineStr">
        <is>
          <t>AI検索</t>
        </is>
      </c>
      <c r="C31" s="41" t="inlineStr">
        <is>
          <t>日本語で検索</t>
        </is>
      </c>
      <c r="D31" s="41" t="inlineStr">
        <is>
          <t>日本語でドキュメント/ステータスを検索</t>
        </is>
      </c>
      <c r="E31" s="44" t="inlineStr">
        <is>
          <t>基本</t>
        </is>
      </c>
      <c r="F31" s="41" t="inlineStr">
        <is>
          <t>日本語のドキュメントが存在</t>
        </is>
      </c>
      <c r="G31" s="41" t="inlineStr">
        <is>
          <t>1. Login staff@gmail.com (JP submissions exist)
2. Go to new chat at /
3. Type: "稟議書の状態を確認してください"
4. Send and review response</t>
        </is>
      </c>
      <c r="H31" s="41" t="inlineStr">
        <is>
          <t>AIが日本語で応答。申請をステータスと共に一覧表示。日本語タイトルが正しく表示。</t>
        </is>
      </c>
      <c r="I31" s="41" t="inlineStr">
        <is>
          <t>(none)</t>
        </is>
      </c>
      <c r="J31" s="45" t="inlineStr">
        <is>
          <t>P2</t>
        </is>
      </c>
      <c r="K31" s="39" t="inlineStr">
        <is>
          <t>合格</t>
        </is>
      </c>
      <c r="L31" s="52" t="inlineStr">
        <is>
          <t>https://jam.dev/c/c2455701-1403-4615-9574-15a0ea25ec9c</t>
        </is>
      </c>
      <c r="M31" s="41" t="inlineStr">
        <is>
          <t>pass yet buggy, 1st submit waiting so long, the sent message is not disabled thus can prompt 2 times, and the response appear two times</t>
        </is>
      </c>
      <c r="N31" s="41" t="inlineStr">
        <is>
          <t>Spec 6.5 (検索・参照)
→ "稟議ID、件名、申請者、部門、金額範囲、ステータス、期間で検索/フィルタ."</t>
        </is>
      </c>
      <c r="O31" s="3" t="n"/>
      <c r="P31" s="3" t="n"/>
      <c r="Q31" s="3" t="n"/>
      <c r="R31" s="3" t="n"/>
      <c r="S31" s="3" t="n"/>
      <c r="T31" s="3" t="n"/>
      <c r="U31" s="3" t="n"/>
      <c r="V31" s="3" t="n"/>
      <c r="W31" s="3" t="n"/>
      <c r="X31" s="3" t="n"/>
      <c r="Y31" s="3" t="n"/>
      <c r="Z31" s="3" t="n"/>
    </row>
    <row r="32" ht="60" customHeight="1" s="54">
      <c r="A32" s="35" t="inlineStr">
        <is>
          <t>KT-AIR-005</t>
        </is>
      </c>
      <c r="B32" s="35" t="inlineStr">
        <is>
          <t>AI検索</t>
        </is>
      </c>
      <c r="C32" s="41" t="inlineStr">
        <is>
          <t>存在しないドキュメント</t>
        </is>
      </c>
      <c r="D32" s="41" t="inlineStr">
        <is>
          <t>存在しないドキュメント/申請を問い合わせ</t>
        </is>
      </c>
      <c r="E32" s="47" t="inlineStr">
        <is>
          <t>エッジケース</t>
        </is>
      </c>
      <c r="F32" s="41" t="inlineStr">
        <is>
          <t>staff@gmail.comでログイン</t>
        </is>
      </c>
      <c r="G32" s="41" t="inlineStr">
        <is>
          <t>1. staff@gmail.comでログイン
2. / で新規チャットにアクセス
3. 入力: "What is the status of ringi XYZ-NONEXISTENT-999?"
4. 送信して応答を確認</t>
        </is>
      </c>
      <c r="H32" s="41" t="inlineStr">
        <is>
          <t>AIが捏造データを返さない。一致する申請が見つからないことを示す。タイトル確認または既存の一覧表示を提案。</t>
        </is>
      </c>
      <c r="I32" s="41" t="inlineStr">
        <is>
          <t>(none)</t>
        </is>
      </c>
      <c r="J32" s="45" t="inlineStr">
        <is>
          <t>P2</t>
        </is>
      </c>
      <c r="K32" s="39" t="inlineStr">
        <is>
          <t>合格</t>
        </is>
      </c>
      <c r="L32" s="53" t="inlineStr">
        <is>
          <t>https://jam.dev/c/b6fabc61-818c-473a-b6b5-d1a8bd6b611a</t>
        </is>
      </c>
      <c r="M32" s="41" t="inlineStr">
        <is>
          <t>Pass yet buggy, it give all pending requests</t>
        </is>
      </c>
      <c r="N32" s="41" t="inlineStr">
        <is>
          <t>Spec 6.5 (検索・参照)
→ "稟議ID、件名、申請者、部門、金額範囲、ステータス、期間で検索/フィルタ."</t>
        </is>
      </c>
      <c r="O32" s="3" t="n"/>
      <c r="P32" s="3" t="n"/>
      <c r="Q32" s="3" t="n"/>
      <c r="R32" s="3" t="n"/>
      <c r="S32" s="3" t="n"/>
      <c r="T32" s="3" t="n"/>
      <c r="U32" s="3" t="n"/>
      <c r="V32" s="3" t="n"/>
      <c r="W32" s="3" t="n"/>
      <c r="X32" s="3" t="n"/>
      <c r="Y32" s="3" t="n"/>
      <c r="Z32" s="3" t="n"/>
    </row>
    <row r="33" ht="60" customHeight="1" s="54">
      <c r="A33" s="35" t="inlineStr">
        <is>
          <t>KT-AIR-006</t>
        </is>
      </c>
      <c r="B33" s="35" t="inlineStr">
        <is>
          <t>AI検索</t>
        </is>
      </c>
      <c r="C33" s="41" t="inlineStr">
        <is>
          <t>他ユーザーの申請</t>
        </is>
      </c>
      <c r="D33" s="41" t="inlineStr">
        <is>
          <t>他ユーザーの申請ステータスを問い合わせ</t>
        </is>
      </c>
      <c r="E33" s="47" t="inlineStr">
        <is>
          <t>エッジケース</t>
        </is>
      </c>
      <c r="F33" s="41" t="inlineStr">
        <is>
          <t>複数ユーザーが申請を持っている</t>
        </is>
      </c>
      <c r="G33" s="41" t="inlineStr">
        <is>
          <t>1. staff@gmail.comでログイン
2. / で新規チャットにアクセス
3. 入力: "What is the status of 'Manager Self-Approval Test'?" （管理者の申請）
4. 送信して応答を確認</t>
        </is>
      </c>
      <c r="H33" s="41" t="inlineStr">
        <is>
          <t>AIがデータ境界を尊重。アクセスを拒否するか、限定情報を表示するか、他ユーザーの申請であることを示す。</t>
        </is>
      </c>
      <c r="I33" s="41" t="inlineStr">
        <is>
          <t>(none)</t>
        </is>
      </c>
      <c r="J33" s="45" t="inlineStr">
        <is>
          <t>P2</t>
        </is>
      </c>
      <c r="K33" s="39" t="inlineStr">
        <is>
          <t>一部合格</t>
        </is>
      </c>
      <c r="L33" s="52" t="inlineStr">
        <is>
          <t>https://jam.dev/c/af3d194a-5853-473f-87f7-df2e469fe7c3</t>
        </is>
      </c>
      <c r="M33" s="41" t="inlineStr">
        <is>
          <t>It did not show yet the AI hallucinate</t>
        </is>
      </c>
      <c r="N33" s="41" t="inlineStr">
        <is>
          <t>Spec 6.5, Spec 6.7 (権限)
→ "ロールベースアクセス制御: 起案者は自分の申請を編集/閲覧, 承認者は割り当てられた案件を操作, 管理者は全件閲覧し設定変更."</t>
        </is>
      </c>
      <c r="O33" s="3" t="n"/>
      <c r="P33" s="3" t="n"/>
      <c r="Q33" s="3" t="n"/>
      <c r="R33" s="3" t="n"/>
      <c r="S33" s="3" t="n"/>
      <c r="T33" s="3" t="n"/>
      <c r="U33" s="3" t="n"/>
      <c r="V33" s="3" t="n"/>
      <c r="W33" s="3" t="n"/>
      <c r="X33" s="3" t="n"/>
      <c r="Y33" s="3" t="n"/>
      <c r="Z33" s="3" t="n"/>
    </row>
    <row r="34" ht="60" customHeight="1" s="54">
      <c r="A34" s="35" t="inlineStr">
        <is>
          <t>KT-STS-001</t>
        </is>
      </c>
      <c r="B34" s="35" t="inlineStr">
        <is>
          <t>ステータス</t>
        </is>
      </c>
      <c r="C34" s="41" t="inlineStr">
        <is>
          <t>保留中ステータス表示</t>
        </is>
      </c>
      <c r="D34" s="41" t="inlineStr">
        <is>
          <t>カードと詳細の保留中ステータス表示を確認</t>
        </is>
      </c>
      <c r="E34" s="39" t="inlineStr">
        <is>
          <t>メイン</t>
        </is>
      </c>
      <c r="F34" s="41" t="inlineStr">
        <is>
          <t>新規申請を作成直後</t>
        </is>
      </c>
      <c r="G34" s="41" t="inlineStr">
        <is>
          <t>1. staff@gmail.comでログイン
2. 新規申請 → カテゴリ: Other
3. タイトル: 'Status Test - Pending'、優先度: Low、部署: QA
4. 取引先: 'Test'、支払: 2026-05-01、Cash
5. 期限: 2026-04-30 17:00
6. 理由: 'Testing pending status display'、目的: 'Status verification'
7. 「申請を作成」
8. ダッシュボードでカードを確認 → 詳細をクリック</t>
        </is>
      </c>
      <c r="H34" s="41" t="inlineStr">
        <is>
          <t>ダッシュボードカードと詳細表示にオレンジ色の「保留中」バッジ。申請がアクティブリストに表示。</t>
        </is>
      </c>
      <c r="I34" s="41" t="inlineStr">
        <is>
          <t>(none)</t>
        </is>
      </c>
      <c r="J34" s="38" t="inlineStr">
        <is>
          <t>P1</t>
        </is>
      </c>
      <c r="K34" s="39" t="inlineStr">
        <is>
          <t>合格</t>
        </is>
      </c>
      <c r="L34" s="41" t="inlineStr">
        <is>
          <t>same as previous</t>
        </is>
      </c>
      <c r="M34" s="41" t="n"/>
      <c r="N34" s="41" t="inlineStr">
        <is>
          <t>Spec 6.3, Spec 9 (UI/UX)
→ "ステータス: Draft / Applying / Waiting for Approval (by stage) / Sent Back / Rejected / Approved / Expired."</t>
        </is>
      </c>
      <c r="O34" s="3" t="n"/>
      <c r="P34" s="3" t="n"/>
      <c r="Q34" s="3" t="n"/>
      <c r="R34" s="3" t="n"/>
      <c r="S34" s="3" t="n"/>
      <c r="T34" s="3" t="n"/>
      <c r="U34" s="3" t="n"/>
      <c r="V34" s="3" t="n"/>
      <c r="W34" s="3" t="n"/>
      <c r="X34" s="3" t="n"/>
      <c r="Y34" s="3" t="n"/>
      <c r="Z34" s="3" t="n"/>
    </row>
    <row r="35" ht="60" customHeight="1" s="54">
      <c r="A35" s="35" t="inlineStr">
        <is>
          <t>KT-STS-002</t>
        </is>
      </c>
      <c r="B35" s="35" t="inlineStr">
        <is>
          <t>ステータス</t>
        </is>
      </c>
      <c r="C35" s="41" t="inlineStr">
        <is>
          <t>承認済みステータス表示</t>
        </is>
      </c>
      <c r="D35" s="41" t="inlineStr">
        <is>
          <t>管理者承認後の承認済みステータスを確認</t>
        </is>
      </c>
      <c r="E35" s="39" t="inlineStr">
        <is>
          <t>メイン</t>
        </is>
      </c>
      <c r="F35" s="41" t="inlineStr">
        <is>
          <t>管理者が申請を承認</t>
        </is>
      </c>
      <c r="G35" s="41" t="inlineStr">
        <is>
          <t>1. manager@gmail.comでログイン
2. 'Status Test - Pending'のカードを見つける → 詳細 /approval-requests/[id]
3. 緑の承認ボタン → 確認
4. staff@gmail.comに切り替え
5. ダッシュボードで承認済みカードを見つける
6. クリック → 詳細表示</t>
        </is>
      </c>
      <c r="H35" s="41" t="inlineStr">
        <is>
          <t>カードと詳細に緑色のCheckCircleアイコン付き「承認済み」バッジ。承認情報がタイムラインタブに表示。</t>
        </is>
      </c>
      <c r="I35" s="41" t="inlineStr">
        <is>
          <t>(none)</t>
        </is>
      </c>
      <c r="J35" s="38" t="inlineStr">
        <is>
          <t>P1</t>
        </is>
      </c>
      <c r="K35" s="39" t="inlineStr">
        <is>
          <t>合格</t>
        </is>
      </c>
      <c r="L35" s="41" t="n"/>
      <c r="M35" s="41" t="n"/>
      <c r="N35" s="41" t="inlineStr">
        <is>
          <t>Spec 6.3, Spec 9 (UI/UX)
→ "ステータス: Draft / Applying / Waiting for Approval (by stage) / Sent Back / Rejected / Approved / Expired."</t>
        </is>
      </c>
      <c r="O35" s="3" t="n"/>
      <c r="P35" s="3" t="n"/>
      <c r="Q35" s="3" t="n"/>
      <c r="R35" s="3" t="n"/>
      <c r="S35" s="3" t="n"/>
      <c r="T35" s="3" t="n"/>
      <c r="U35" s="3" t="n"/>
      <c r="V35" s="3" t="n"/>
      <c r="W35" s="3" t="n"/>
      <c r="X35" s="3" t="n"/>
      <c r="Y35" s="3" t="n"/>
      <c r="Z35" s="3" t="n"/>
    </row>
    <row r="36" ht="60" customHeight="1" s="54">
      <c r="A36" s="35" t="inlineStr">
        <is>
          <t>KT-STS-003</t>
        </is>
      </c>
      <c r="B36" s="35" t="inlineStr">
        <is>
          <t>ステータス</t>
        </is>
      </c>
      <c r="C36" s="41" t="inlineStr">
        <is>
          <t>却下ステータス表示</t>
        </is>
      </c>
      <c r="D36" s="41" t="inlineStr">
        <is>
          <t>却下ステータス表示を確認</t>
        </is>
      </c>
      <c r="E36" s="44" t="inlineStr">
        <is>
          <t>基本</t>
        </is>
      </c>
      <c r="F36" s="41" t="inlineStr">
        <is>
          <t>管理者が申請を却下</t>
        </is>
      </c>
      <c r="G36" s="41" t="inlineStr">
        <is>
          <t>1. staff@gmail.comでログイン → 新規申請: 'Status Test - To Be Rejected'、Low、QA（残りを入力）
2. manager@gmail.comに切り替え → 申請を見つけて詳細を開く
3. 赤い却下ボタン → 'Test rejection'を入力 → 確認
4. staff@gmail.comに切り替え → 却下された申請を確認</t>
        </is>
      </c>
      <c r="H36" s="41" t="inlineStr">
        <is>
          <t>赤色のXCircleアイコン付き「却下済み」バッジ。却下理由'Test rejection'がタイムラインタブに表示。</t>
        </is>
      </c>
      <c r="I36" s="41" t="inlineStr">
        <is>
          <t>(none)</t>
        </is>
      </c>
      <c r="J36" s="45" t="inlineStr">
        <is>
          <t>P2</t>
        </is>
      </c>
      <c r="K36" s="39" t="inlineStr">
        <is>
          <t>合格</t>
        </is>
      </c>
      <c r="L36" s="53" t="inlineStr">
        <is>
          <t>https://jam.dev/c/2b43d3c6-f2ad-4a1d-984e-ee7d4b8bd278</t>
        </is>
      </c>
      <c r="M36" s="41" t="n"/>
      <c r="N36" s="41" t="inlineStr">
        <is>
          <t>Spec 6.3, Spec 9 (UI/UX)
→ "ステータス: Draft / Applying / Waiting for Approval (by stage) / Sent Back / Rejected / Approved / Expired."</t>
        </is>
      </c>
      <c r="O36" s="3" t="n"/>
      <c r="P36" s="3" t="n"/>
      <c r="Q36" s="3" t="n"/>
      <c r="R36" s="3" t="n"/>
      <c r="S36" s="3" t="n"/>
      <c r="T36" s="3" t="n"/>
      <c r="U36" s="3" t="n"/>
      <c r="V36" s="3" t="n"/>
      <c r="W36" s="3" t="n"/>
      <c r="X36" s="3" t="n"/>
      <c r="Y36" s="3" t="n"/>
      <c r="Z36" s="3" t="n"/>
    </row>
    <row r="37" ht="60" customHeight="1" s="54">
      <c r="A37" s="35" t="inlineStr">
        <is>
          <t>KT-STS-004</t>
        </is>
      </c>
      <c r="B37" s="35" t="inlineStr">
        <is>
          <t>ステータス</t>
        </is>
      </c>
      <c r="C37" s="41" t="inlineStr">
        <is>
          <t>要修正ステータス表示</t>
        </is>
      </c>
      <c r="D37" s="41" t="inlineStr">
        <is>
          <t>要修正ステータス表示を確認</t>
        </is>
      </c>
      <c r="E37" s="44" t="inlineStr">
        <is>
          <t>基本</t>
        </is>
      </c>
      <c r="F37" s="41" t="inlineStr">
        <is>
          <t>管理者が修正を依頼</t>
        </is>
      </c>
      <c r="G37" s="41" t="inlineStr">
        <is>
          <t>1. staff@gmail.comでログイン → 新規申請: 'Status Test - Needs Revision'、Low、QA（残りを入力）
2. manager@gmail.comに切り替え → 申請を見つけて詳細を開く
3. 「修正依頼」 → 'Please add more details about the budget'を入力 → 確認
4. staff@gmail.comに切り替え → 修正依頼の申請を確認</t>
        </is>
      </c>
      <c r="H37" s="41" t="inlineStr">
        <is>
          <t>オレンジ/黄色の「要修正」バッジ。管理者のフィードバックがタイムラインタブに表示。スタッフに編集ボタンあり。</t>
        </is>
      </c>
      <c r="I37" s="41" t="inlineStr">
        <is>
          <t>(none)</t>
        </is>
      </c>
      <c r="J37" s="45" t="inlineStr">
        <is>
          <t>P2</t>
        </is>
      </c>
      <c r="K37" s="39" t="inlineStr">
        <is>
          <t>不合格</t>
        </is>
      </c>
      <c r="L37" s="41" t="n"/>
      <c r="M37" s="41" t="inlineStr">
        <is>
          <t>Not implemented?</t>
        </is>
      </c>
      <c r="N37" s="41" t="inlineStr">
        <is>
          <t>Spec 6.3, Spec 9 (UI/UX)
→ "ステータス: Draft / Applying / Waiting for Approval (by stage) / Sent Back / Rejected / Approved / Expired."</t>
        </is>
      </c>
      <c r="O37" s="3" t="n"/>
      <c r="P37" s="3" t="n"/>
      <c r="Q37" s="3" t="n"/>
      <c r="R37" s="3" t="n"/>
      <c r="S37" s="3" t="n"/>
      <c r="T37" s="3" t="n"/>
      <c r="U37" s="3" t="n"/>
      <c r="V37" s="3" t="n"/>
      <c r="W37" s="3" t="n"/>
      <c r="X37" s="3" t="n"/>
      <c r="Y37" s="3" t="n"/>
      <c r="Z37" s="3" t="n"/>
    </row>
    <row r="38" ht="60" customHeight="1" s="54">
      <c r="A38" s="35" t="inlineStr">
        <is>
          <t>KT-STS-005</t>
        </is>
      </c>
      <c r="B38" s="35" t="inlineStr">
        <is>
          <t>ステータス</t>
        </is>
      </c>
      <c r="C38" s="41" t="inlineStr">
        <is>
          <t>取消ステータス表示</t>
        </is>
      </c>
      <c r="D38" s="41" t="inlineStr">
        <is>
          <t>申請者取消後の取消ステータスを確認</t>
        </is>
      </c>
      <c r="E38" s="44" t="inlineStr">
        <is>
          <t>基本</t>
        </is>
      </c>
      <c r="F38" s="41" t="inlineStr">
        <is>
          <t>スタッフが自分の申請を取消</t>
        </is>
      </c>
      <c r="G38" s="41" t="inlineStr">
        <is>
          <t>1. Login staff@gmail.com → New Submission: 'Status Test - To Be Cancelled', Low, QA (fill remaining)
2. Find pending submission on dashboard → detail /approval-requests/[id]
3. Click Cancel (or equivalent withdraw action)
4. 確認する status on dashboard and detail</t>
        </is>
      </c>
      <c r="H38" s="41" t="inlineStr">
        <is>
          <t>グレーの「取消済み」バッジ。申請がアクティブ/保留リストに表示されない。追加アクションなし。</t>
        </is>
      </c>
      <c r="I38" s="41" t="inlineStr">
        <is>
          <t>(none)</t>
        </is>
      </c>
      <c r="J38" s="45" t="inlineStr">
        <is>
          <t>P2</t>
        </is>
      </c>
      <c r="K38" s="39" t="inlineStr">
        <is>
          <t>不合格</t>
        </is>
      </c>
      <c r="L38" s="41" t="n"/>
      <c r="M38" s="41" t="inlineStr">
        <is>
          <t>Not implemented?</t>
        </is>
      </c>
      <c r="N38" s="41" t="inlineStr">
        <is>
          <t>Spec 6.3, Spec 9 (UI/UX)
→ "ステータス: Draft / Applying / Waiting for Approval (by stage) / Sent Back / Rejected / Approved / Expired."</t>
        </is>
      </c>
      <c r="O38" s="3" t="n"/>
      <c r="P38" s="3" t="n"/>
      <c r="Q38" s="3" t="n"/>
      <c r="R38" s="3" t="n"/>
      <c r="S38" s="3" t="n"/>
      <c r="T38" s="3" t="n"/>
      <c r="U38" s="3" t="n"/>
      <c r="V38" s="3" t="n"/>
      <c r="W38" s="3" t="n"/>
      <c r="X38" s="3" t="n"/>
      <c r="Y38" s="3" t="n"/>
      <c r="Z38" s="3" t="n"/>
    </row>
    <row r="39" ht="60" customHeight="1" s="54">
      <c r="A39" s="35" t="inlineStr">
        <is>
          <t>KT-ROL-001</t>
        </is>
      </c>
      <c r="B39" s="35" t="inlineStr">
        <is>
          <t>ユーザーロール</t>
        </is>
      </c>
      <c r="C39" s="41" t="inlineStr">
        <is>
          <t>スタッフが自分の申請を閲覧</t>
        </is>
      </c>
      <c r="D39" s="41" t="inlineStr">
        <is>
          <t>スタッフがダッシュボードで自分の申請のみ閲覧</t>
        </is>
      </c>
      <c r="E39" s="39" t="inlineStr">
        <is>
          <t>メイン</t>
        </is>
      </c>
      <c r="F39" s="41" t="inlineStr">
        <is>
          <t>複数ユーザーが申請を持っている</t>
        </is>
      </c>
      <c r="G39" s="41" t="inlineStr">
        <is>
          <t>1. manager@gmail.comでログイン → 稟議を申請: 'Manager's Test Submission'、Low、Management（未作成の場合）
2. ログアウト → staff@gmail.comでログイン
3. ダッシュボード → 表示されている全申請カードを確認</t>
        </is>
      </c>
      <c r="H39" s="41" t="inlineStr">
        <is>
          <t>スタッフは自分の申請のみ表示。'Manager's Test Submission'は表示されない。他ユーザーの申請なし。</t>
        </is>
      </c>
      <c r="I39" s="41" t="inlineStr">
        <is>
          <t>(none)</t>
        </is>
      </c>
      <c r="J39" s="38" t="inlineStr">
        <is>
          <t>P1</t>
        </is>
      </c>
      <c r="K39" s="39" t="inlineStr">
        <is>
          <t>一部合格</t>
        </is>
      </c>
      <c r="L39" s="53" t="inlineStr">
        <is>
          <t>https://jam.dev/c/c778d93c-439e-47df-9600-95ef39426796</t>
        </is>
      </c>
      <c r="M39" s="41" t="inlineStr">
        <is>
          <t>Client Side (FE side) Bug, after changin the role, the previous role submission still appear</t>
        </is>
      </c>
      <c r="N39" s="41" t="inlineStr">
        <is>
          <t>Spec 6.7 (権限), Spec 3 (ステークホルダー)
→ "ロールベースアクセス制御: 起案者は自分の申請を編集/閲覧, 承認者は割り当てられた案件を操作, 管理者は全件閲覧し設定変更."</t>
        </is>
      </c>
      <c r="O39" s="3" t="n"/>
      <c r="P39" s="3" t="n"/>
      <c r="Q39" s="3" t="n"/>
      <c r="R39" s="3" t="n"/>
      <c r="S39" s="3" t="n"/>
      <c r="T39" s="3" t="n"/>
      <c r="U39" s="3" t="n"/>
      <c r="V39" s="3" t="n"/>
      <c r="W39" s="3" t="n"/>
      <c r="X39" s="3" t="n"/>
      <c r="Y39" s="3" t="n"/>
      <c r="Z39" s="3" t="n"/>
    </row>
    <row r="40" ht="60" customHeight="1" s="54">
      <c r="A40" s="35" t="inlineStr">
        <is>
          <t>KT-ROL-002</t>
        </is>
      </c>
      <c r="B40" s="35" t="inlineStr">
        <is>
          <t>ユーザーロール</t>
        </is>
      </c>
      <c r="C40" s="41" t="inlineStr">
        <is>
          <t>管理者が全件閲覧＋承認可能</t>
        </is>
      </c>
      <c r="D40" s="41" t="inlineStr">
        <is>
          <t>管理者が全申請を閲覧し承認可能</t>
        </is>
      </c>
      <c r="E40" s="39" t="inlineStr">
        <is>
          <t>メイン</t>
        </is>
      </c>
      <c r="F40" s="41" t="inlineStr">
        <is>
          <t>複数ユーザーの申請が存在</t>
        </is>
      </c>
      <c r="G40" s="41" t="inlineStr">
        <is>
          <t>1. Login manager@gmail.com
2. Go to dashboard → check visible submission cards
3. Click any pending submission → detail /approval-requests/[id]
4. 利用可能なアクションボタンを確認</t>
        </is>
      </c>
      <c r="H40" s="41" t="inlineStr">
        <is>
          <t>管理者は全ユーザーの申請を表示。保留中の申請に緑の承認ボタンと赤の却下ボタン。</t>
        </is>
      </c>
      <c r="I40" s="41" t="inlineStr">
        <is>
          <t>(none)</t>
        </is>
      </c>
      <c r="J40" s="38" t="inlineStr">
        <is>
          <t>P1</t>
        </is>
      </c>
      <c r="K40" s="39" t="inlineStr">
        <is>
          <t>不合格</t>
        </is>
      </c>
      <c r="L40" s="41" t="n"/>
      <c r="M40" s="41" t="inlineStr">
        <is>
          <t>manager cannot see staff currently</t>
        </is>
      </c>
      <c r="N40" s="41" t="inlineStr">
        <is>
          <t>Spec 6.7 (権限), Spec 3 (ステークホルダー)
→ "ロールベースアクセス制御: 起案者は自分の申請を編集/閲覧, 承認者は割り当てられた案件を操作, 管理者は全件閲覧し設定変更."</t>
        </is>
      </c>
      <c r="O40" s="3" t="n"/>
      <c r="P40" s="3" t="n"/>
      <c r="Q40" s="3" t="n"/>
      <c r="R40" s="3" t="n"/>
      <c r="S40" s="3" t="n"/>
      <c r="T40" s="3" t="n"/>
      <c r="U40" s="3" t="n"/>
      <c r="V40" s="3" t="n"/>
      <c r="W40" s="3" t="n"/>
      <c r="X40" s="3" t="n"/>
      <c r="Y40" s="3" t="n"/>
      <c r="Z40" s="3" t="n"/>
    </row>
    <row r="41" ht="60" customHeight="1" s="54">
      <c r="A41" s="35" t="inlineStr">
        <is>
          <t>KT-ROL-003</t>
        </is>
      </c>
      <c r="B41" s="35" t="inlineStr">
        <is>
          <t>ユーザーロール</t>
        </is>
      </c>
      <c r="C41" s="41" t="inlineStr">
        <is>
          <t>スタッフに承認ボタンなし</t>
        </is>
      </c>
      <c r="D41" s="41" t="inlineStr">
        <is>
          <t>スタッフに承認/却下ボタンが表示されない</t>
        </is>
      </c>
      <c r="E41" s="44" t="inlineStr">
        <is>
          <t>基本</t>
        </is>
      </c>
      <c r="F41" s="41" t="inlineStr">
        <is>
          <t>保留中の申請が存在</t>
        </is>
      </c>
      <c r="G41" s="41" t="inlineStr">
        <is>
          <t>1. staff@gmail.comでログイン
2. 自分の申請をクリック → 詳細 /approval-requests/[id]
3. 利用可能な全アクションボタンを確認
4. ダッシュボードカードのアクションも確認</t>
        </is>
      </c>
      <c r="H41" s="41" t="inlineStr">
        <is>
          <t>承認、却下、修正依頼ボタンなし。スタッフは: 編集（保留中のみ）、取消（利用可能な場合）、閲覧のみ。</t>
        </is>
      </c>
      <c r="I41" s="41" t="inlineStr">
        <is>
          <t>(none)</t>
        </is>
      </c>
      <c r="J41" s="38" t="inlineStr">
        <is>
          <t>P1</t>
        </is>
      </c>
      <c r="K41" s="39" t="inlineStr">
        <is>
          <t>合格</t>
        </is>
      </c>
      <c r="L41" s="41" t="n"/>
      <c r="M41" s="41" t="n"/>
      <c r="N41" s="41" t="inlineStr">
        <is>
          <t>Spec 6.7 (権限), Spec 3 (ステークホルダー)
→ "ロールベースアクセス制御: 起案者は自分の申請を編集/閲覧, 承認者は割り当てられた案件を操作, 管理者は全件閲覧し設定変更."</t>
        </is>
      </c>
      <c r="O41" s="3" t="n"/>
      <c r="P41" s="3" t="n"/>
      <c r="Q41" s="3" t="n"/>
      <c r="R41" s="3" t="n"/>
      <c r="S41" s="3" t="n"/>
      <c r="T41" s="3" t="n"/>
      <c r="U41" s="3" t="n"/>
      <c r="V41" s="3" t="n"/>
      <c r="W41" s="3" t="n"/>
      <c r="X41" s="3" t="n"/>
      <c r="Y41" s="3" t="n"/>
      <c r="Z41" s="3" t="n"/>
    </row>
    <row r="42" ht="60" customHeight="1" s="54">
      <c r="A42" s="35" t="inlineStr">
        <is>
          <t>KT-ROL-004</t>
        </is>
      </c>
      <c r="B42" s="35" t="inlineStr">
        <is>
          <t>ユーザーロール</t>
        </is>
      </c>
      <c r="C42" s="41" t="inlineStr">
        <is>
          <t>管理者のクイック承認</t>
        </is>
      </c>
      <c r="D42" s="41" t="inlineStr">
        <is>
          <t>管理者がダッシュボードカードからクイック承認</t>
        </is>
      </c>
      <c r="E42" s="44" t="inlineStr">
        <is>
          <t>基本</t>
        </is>
      </c>
      <c r="F42" s="41" t="inlineStr">
        <is>
          <t>ダッシュボードに保留中の申請</t>
        </is>
      </c>
      <c r="G42" s="41" t="inlineStr">
        <is>
          <t>1. Login manager@gmail.com
2. Go to dashboard → find pending ringi card
3. を探す quick-action buttons on card
4. If available, use quick-approve</t>
        </is>
      </c>
      <c r="H42" s="41" t="inlineStr">
        <is>
          <t>カードにクイック承認あり（実装されている場合）。ダッシュボードからの承認が成功。カードステータスが即座に更新。</t>
        </is>
      </c>
      <c r="I42" s="41" t="inlineStr">
        <is>
          <t>(none)</t>
        </is>
      </c>
      <c r="J42" s="45" t="inlineStr">
        <is>
          <t>P2</t>
        </is>
      </c>
      <c r="K42" s="39" t="inlineStr">
        <is>
          <t>合格</t>
        </is>
      </c>
      <c r="L42" s="41" t="n"/>
      <c r="M42" s="41" t="n"/>
      <c r="N42" s="41" t="inlineStr">
        <is>
          <t>Spec 6.7 (権限), Spec 3 (ステークホルダー)
→ "ロールベースアクセス制御: 起案者は自分の申請を編集/閲覧, 承認者は割り当てられた案件を操作, 管理者は全件閲覧し設定変更."</t>
        </is>
      </c>
      <c r="O42" s="3" t="n"/>
      <c r="P42" s="3" t="n"/>
      <c r="Q42" s="3" t="n"/>
      <c r="R42" s="3" t="n"/>
      <c r="S42" s="3" t="n"/>
      <c r="T42" s="3" t="n"/>
      <c r="U42" s="3" t="n"/>
      <c r="V42" s="3" t="n"/>
      <c r="W42" s="3" t="n"/>
      <c r="X42" s="3" t="n"/>
      <c r="Y42" s="3" t="n"/>
      <c r="Z42" s="3" t="n"/>
    </row>
    <row r="43" ht="60" customHeight="1" s="54">
      <c r="A43" s="35" t="inlineStr">
        <is>
          <t>KT-ROL-005</t>
        </is>
      </c>
      <c r="B43" s="35" t="inlineStr">
        <is>
          <t>ユーザーロール</t>
        </is>
      </c>
      <c r="C43" s="41" t="inlineStr">
        <is>
          <t>スタッフの管理画面URL直接アクセス</t>
        </is>
      </c>
      <c r="D43" s="41" t="inlineStr">
        <is>
          <t>スタッフが管理画面URLに直接アクセス</t>
        </is>
      </c>
      <c r="E43" s="47" t="inlineStr">
        <is>
          <t>エッジケース</t>
        </is>
      </c>
      <c r="F43" s="41" t="inlineStr">
        <is>
          <t>staff@gmail.comでログイン</t>
        </is>
      </c>
      <c r="G43" s="41" t="inlineStr">
        <is>
          <t>1. staff@gmail.comでログイン
2. URL入力: https://eb-filemg-development.vercel.app/superadmin/dashboard → Enter
3. 結果を確認
4. 同様に試行: https://eb-filemg-development.vercel.app/superadmin/users</t>
        </is>
      </c>
      <c r="H43" s="41" t="inlineStr">
        <is>
          <t>スタッフが管理ページにアクセス不可。/ にリダイレクトまたはアクセス拒否。管理機能が公開されない。サイドバーに管理ナビなし。</t>
        </is>
      </c>
      <c r="I43" s="41" t="inlineStr">
        <is>
          <t>(none)</t>
        </is>
      </c>
      <c r="J43" s="38" t="inlineStr">
        <is>
          <t>P1</t>
        </is>
      </c>
      <c r="K43" s="39" t="inlineStr">
        <is>
          <t>合格</t>
        </is>
      </c>
      <c r="L43" s="52" t="inlineStr">
        <is>
          <t>https://jam.dev/c/39a8da64-75f7-4bfa-bdf1-288fce1229be</t>
        </is>
      </c>
      <c r="M43" s="41" t="n"/>
      <c r="N43" s="41" t="inlineStr">
        <is>
          <t>Spec 6.7 (権限), Spec 3 (ステークホルダー)
→ "ロールベースアクセス制御: 起案者は自分の申請を編集/閲覧, 承認者は割り当てられた案件を操作, 管理者は全件閲覧し設定変更."</t>
        </is>
      </c>
      <c r="O43" s="3" t="n"/>
      <c r="P43" s="3" t="n"/>
      <c r="Q43" s="3" t="n"/>
      <c r="R43" s="3" t="n"/>
      <c r="S43" s="3" t="n"/>
      <c r="T43" s="3" t="n"/>
      <c r="U43" s="3" t="n"/>
      <c r="V43" s="3" t="n"/>
      <c r="W43" s="3" t="n"/>
      <c r="X43" s="3" t="n"/>
      <c r="Y43" s="3" t="n"/>
      <c r="Z43" s="3" t="n"/>
    </row>
    <row r="44" ht="60" customHeight="1" s="54">
      <c r="A44" s="35" t="inlineStr">
        <is>
          <t>KT-ROL-006</t>
        </is>
      </c>
      <c r="B44" s="35" t="inlineStr">
        <is>
          <t>ユーザーロール</t>
        </is>
      </c>
      <c r="C44" s="41" t="inlineStr">
        <is>
          <t>経理担当者の閲覧専用</t>
        </is>
      </c>
      <c r="D44" s="41" t="inlineStr">
        <is>
          <t>経理担当者が閲覧のみで操作不可</t>
        </is>
      </c>
      <c r="E44" s="47" t="inlineStr">
        <is>
          <t>エッジケース</t>
        </is>
      </c>
      <c r="F44" s="41" t="inlineStr">
        <is>
          <t>経理担当者ロールが存在</t>
        </is>
      </c>
      <c r="G44" s="41" t="inlineStr">
        <is>
          <t>1. 確認する accountant test account exists
2. If yes, login with accountant credentials
3. Go to dashboard → navigate to submission detail /approval-requests/[id]
4. 利用可能な操作を確認</t>
        </is>
      </c>
      <c r="H44" s="41" t="inlineStr">
        <is>
          <t>経理担当者は申請を閲覧可能だが承認/却下/編集不可。アクションボタンなし。閲覧専用アクセス。</t>
        </is>
      </c>
      <c r="I44" s="41" t="inlineStr">
        <is>
          <t>(none)</t>
        </is>
      </c>
      <c r="J44" s="48" t="inlineStr">
        <is>
          <t>P3</t>
        </is>
      </c>
      <c r="K44" s="39" t="inlineStr">
        <is>
          <t>不合格</t>
        </is>
      </c>
      <c r="L44" s="52" t="inlineStr">
        <is>
          <t>https://jam.dev/c/76d1929b-f41c-4138-be8a-b6d24c036407</t>
        </is>
      </c>
      <c r="M44" s="41" t="inlineStr">
        <is>
          <t>empty ringi on accountant</t>
        </is>
      </c>
      <c r="N44" s="41" t="inlineStr">
        <is>
          <t>Spec 6.7 (権限), Spec 3 (ステークホルダー)
→ "ロールベースアクセス制御: 起案者は自分の申請を編集/閲覧, 承認者は割り当てられた案件を操作, 管理者は全件閲覧し設定変更."</t>
        </is>
      </c>
      <c r="O44" s="3" t="n"/>
      <c r="P44" s="3" t="n"/>
      <c r="Q44" s="3" t="n"/>
      <c r="R44" s="3" t="n"/>
      <c r="S44" s="3" t="n"/>
      <c r="T44" s="3" t="n"/>
      <c r="U44" s="3" t="n"/>
      <c r="V44" s="3" t="n"/>
      <c r="W44" s="3" t="n"/>
      <c r="X44" s="3" t="n"/>
      <c r="Y44" s="3" t="n"/>
      <c r="Z44" s="3" t="n"/>
    </row>
    <row r="45" ht="60" customHeight="1" s="54">
      <c r="A45" s="35" t="inlineStr">
        <is>
          <t>KT-AIC-009</t>
        </is>
      </c>
      <c r="B45" s="41" t="inlineStr">
        <is>
          <t>AIチャット</t>
        </is>
      </c>
      <c r="C45" s="41" t="inlineStr">
        <is>
          <t>ドキュメントアップロード、AIが申請作成</t>
        </is>
      </c>
      <c r="D45" s="41" t="inlineStr">
        <is>
          <t>チャットで稟議ドキュメントをアップロード、AIがデータ抽出し申請作成</t>
        </is>
      </c>
      <c r="E45" s="39" t="inlineStr">
        <is>
          <t>メイン</t>
        </is>
      </c>
      <c r="F45" s="41" t="inlineStr">
        <is>
          <t>staff@gmail.comでログイン</t>
        </is>
      </c>
      <c r="G45" s="41" t="inlineStr">
        <is>
          <t>1. Login staff@gmail.com
2. Go to new chat at /
3. Click paperclip → select ringi_en_form_laptop_purchase.docx
4. 確認する file appears as attachment
5. Type: "Create a submission from this document"
6. Send and wait for response
7. Review extracted data</t>
        </is>
      </c>
      <c r="H45" s="41" t="inlineStr">
        <is>
          <t>AIが主要データを抽出（タイトル、金額 ~$6,000、取引先、部署: Engineering）。事前入力された申請を提案。データがドキュメントと一致。</t>
        </is>
      </c>
      <c r="I45" s="41" t="inlineStr">
        <is>
          <t>ringi_en_form_laptop_purchase.docx</t>
        </is>
      </c>
      <c r="J45" s="38" t="inlineStr">
        <is>
          <t>P1</t>
        </is>
      </c>
      <c r="K45" s="39" t="inlineStr">
        <is>
          <t>合格</t>
        </is>
      </c>
      <c r="L45" s="53" t="inlineStr">
        <is>
          <t>https://jam.dev/c/1efadd9c-aaeb-4818-8f43-f1cdaa356980</t>
        </is>
      </c>
      <c r="M45" s="41" t="n"/>
      <c r="N45" s="41" t="inlineStr">
        <is>
          <t>Spec 5 (業務フロー), Spec 6.1, Spec 6.4
→ "コンテキスト入力支援: チャットメッセージを要約してフォーム初期値を提案."</t>
        </is>
      </c>
      <c r="O45" s="3" t="n"/>
      <c r="P45" s="3" t="n"/>
      <c r="Q45" s="3" t="n"/>
      <c r="R45" s="3" t="n"/>
      <c r="S45" s="3" t="n"/>
      <c r="T45" s="3" t="n"/>
      <c r="U45" s="3" t="n"/>
      <c r="V45" s="3" t="n"/>
      <c r="W45" s="3" t="n"/>
      <c r="X45" s="3" t="n"/>
      <c r="Y45" s="3" t="n"/>
      <c r="Z45" s="3" t="n"/>
    </row>
    <row r="46" ht="60" customHeight="1" s="54">
      <c r="A46" s="35" t="inlineStr">
        <is>
          <t>KT-AIC-010</t>
        </is>
      </c>
      <c r="B46" s="41" t="inlineStr">
        <is>
          <t>AIチャット</t>
        </is>
      </c>
      <c r="C46" s="41" t="inlineStr">
        <is>
          <t>チャットで複数ファイルアップロード</t>
        </is>
      </c>
      <c r="D46" s="41" t="inlineStr">
        <is>
          <t>AIチャットで複数ファイルを同時にアップロード</t>
        </is>
      </c>
      <c r="E46" s="44" t="inlineStr">
        <is>
          <t>基本</t>
        </is>
      </c>
      <c r="F46" s="41" t="inlineStr">
        <is>
          <t>staff@gmail.comでログイン</t>
        </is>
      </c>
      <c r="G46" s="41" t="inlineStr">
        <is>
          <t>1. Login staff@gmail.com
2. Go to new chat at /
3. Click paperclip → select both: ringi_en_detailed_license_renewal.docx and ringi_en_purchase_monitors.docx
4. 確認する both appear as previews
5. Type: "Please summarize both documents"
6. Send and review response</t>
        </is>
      </c>
      <c r="H46" s="41" t="inlineStr">
        <is>
          <t>両ファイルがアップロードされる。AIが両方を確認。個別の要約: Adobeライセンス/$12,500とDellモニター/$3,750。</t>
        </is>
      </c>
      <c r="I46" s="41" t="inlineStr">
        <is>
          <t>ringi_en_detailed_license_renewal.docx, ringi_en_purchase_monitors.docx</t>
        </is>
      </c>
      <c r="J46" s="45" t="inlineStr">
        <is>
          <t>P2</t>
        </is>
      </c>
      <c r="K46" s="39" t="inlineStr">
        <is>
          <t>一部合格</t>
        </is>
      </c>
      <c r="L46" s="53" t="inlineStr">
        <is>
          <t>https://jam.dev/c/e9294356-f4ce-4bcb-92b1-fa3317f70460</t>
        </is>
      </c>
      <c r="M46" s="41" t="inlineStr">
        <is>
          <t>is it considered as 1 ringi or 2 ringi? can AI smartly categorize between same ringin file or different ringi file?</t>
        </is>
      </c>
      <c r="N46" s="41" t="inlineStr">
        <is>
          <t>Spec 6.1, Spec 6.4
→ "添付ファイル: Quotes, contracts, and related materials. 承認後の改ざん不可（新バージョンとして再申請が必要）."</t>
        </is>
      </c>
      <c r="O46" s="3" t="n"/>
      <c r="P46" s="3" t="n"/>
      <c r="Q46" s="3" t="n"/>
      <c r="R46" s="3" t="n"/>
      <c r="S46" s="3" t="n"/>
      <c r="T46" s="3" t="n"/>
      <c r="U46" s="3" t="n"/>
      <c r="V46" s="3" t="n"/>
      <c r="W46" s="3" t="n"/>
      <c r="X46" s="3" t="n"/>
      <c r="Y46" s="3" t="n"/>
      <c r="Z46" s="3" t="n"/>
    </row>
    <row r="47" ht="60" customHeight="1" s="54">
      <c r="A47" s="35" t="inlineStr">
        <is>
          <t>KT-AIC-011</t>
        </is>
      </c>
      <c r="B47" s="41" t="inlineStr">
        <is>
          <t>AIチャット</t>
        </is>
      </c>
      <c r="C47" s="41" t="inlineStr">
        <is>
          <t>チャットのファイルカード操作</t>
        </is>
      </c>
      <c r="D47" s="41" t="inlineStr">
        <is>
          <t>チャットのファイルカード操作（開く/共有/削除）</t>
        </is>
      </c>
      <c r="E47" s="44" t="inlineStr">
        <is>
          <t>基本</t>
        </is>
      </c>
      <c r="F47" s="41" t="inlineStr">
        <is>
          <t>staff@gmail.comでログイン</t>
        </is>
      </c>
      <c r="G47" s="41" t="inlineStr">
        <is>
          <t>1. staff@gmail.comでログイン
2. / で新規チャットにアクセス
3. ペーパークリップ → ringi_en_form_laptop_purchase.docxを選択
4. 入力: "What is this file about?"
5. 送信して応答を待つ
6. チャット内のファイルカードを確認: アクションボタン（Open、Share）
7. Openをクリック → ファイルが開くことを確認
8. Shareをクリック → リンクがコピーされることを確認</t>
        </is>
      </c>
      <c r="H47" s="41" t="inlineStr">
        <is>
          <t>ファイル名/タイプ付きファイルカードが表示。Openボタンでファイルが開く。Shareボタンで共有リンクがコピー。UIが明確で一貫性がある。</t>
        </is>
      </c>
      <c r="I47" s="41" t="inlineStr">
        <is>
          <t>ringi_en_form_laptop_purchase.docx</t>
        </is>
      </c>
      <c r="J47" s="45" t="inlineStr">
        <is>
          <t>P2</t>
        </is>
      </c>
      <c r="K47" s="39" t="inlineStr">
        <is>
          <t>一部合格</t>
        </is>
      </c>
      <c r="L47" s="53" t="inlineStr">
        <is>
          <t>https://jam.dev/c/23f297ee-bd19-42be-93c5-3d59a25b1c86</t>
        </is>
      </c>
      <c r="M47" s="41" t="inlineStr">
        <is>
          <t>there is bug that the file atteched is 0 even though it is submitted
for the requirement it is debatable
the test cases perhaps should be updated
also why upload through "Drag &amp; drop files here
or click to browse - Max 20MB per file - Up to 10 files
Supported: PDF, DOCX, XLSX, PPTX, CSV, TXT, MD, JPG, PNG, HEIC, ZIP"
have different flow?</t>
        </is>
      </c>
      <c r="N47" s="41" t="inlineStr">
        <is>
          <t>Spec 6.4, Spec 9 (UI/UX)
→ "チャットカードから承認/差戻し."</t>
        </is>
      </c>
      <c r="O47" s="3" t="n"/>
      <c r="P47" s="3" t="n"/>
      <c r="Q47" s="3" t="n"/>
      <c r="R47" s="3" t="n"/>
      <c r="S47" s="3" t="n"/>
      <c r="T47" s="3" t="n"/>
      <c r="U47" s="3" t="n"/>
      <c r="V47" s="3" t="n"/>
      <c r="W47" s="3" t="n"/>
      <c r="X47" s="3" t="n"/>
      <c r="Y47" s="3" t="n"/>
      <c r="Z47" s="3" t="n"/>
    </row>
    <row r="48" ht="60" customHeight="1" s="54">
      <c r="A48" s="35" t="inlineStr">
        <is>
          <t>KT-AIC-012</t>
        </is>
      </c>
      <c r="B48" s="41" t="inlineStr">
        <is>
          <t>AIチャット</t>
        </is>
      </c>
      <c r="C48" s="41" t="inlineStr">
        <is>
          <t>AIでアップロード済みファイルを検索</t>
        </is>
      </c>
      <c r="D48" s="41" t="inlineStr">
        <is>
          <t>AIチャットでアップロード済みファイルを検索</t>
        </is>
      </c>
      <c r="E48" s="44" t="inlineStr">
        <is>
          <t>基本</t>
        </is>
      </c>
      <c r="F48" s="41" t="inlineStr">
        <is>
          <t>staff@gmail.comでログイン、ファイルが以前にアップロード済み</t>
        </is>
      </c>
      <c r="G48" s="41" t="inlineStr">
        <is>
          <t>1. Login staff@gmail.com (files previously uploaded)
2. Go to new chat at /
3. Type: "Find my uploaded documents"
4. Send and review response
5. 確認する SearchResultsCard with file cards</t>
        </is>
      </c>
      <c r="H48" s="41" t="inlineStr">
        <is>
          <t>AIが以前にアップロードしたファイルの検索/取得を使用。Open/Shareアクション付きファイルカードのSearchResultsCard。</t>
        </is>
      </c>
      <c r="I48" s="41" t="inlineStr">
        <is>
          <t>(none)</t>
        </is>
      </c>
      <c r="J48" s="45" t="inlineStr">
        <is>
          <t>P2</t>
        </is>
      </c>
      <c r="K48" s="39" t="inlineStr">
        <is>
          <t>合格</t>
        </is>
      </c>
      <c r="L48" s="53" t="inlineStr">
        <is>
          <t>https://jam.dev/c/3572f7bd-7456-4791-8ec0-424054bd2190</t>
        </is>
      </c>
      <c r="M48" s="41" t="n"/>
      <c r="N48" s="41" t="inlineStr">
        <is>
          <t>Spec 6.5, Spec 6.4
→ "稟議ID、件名、申請者、部門、金額範囲、ステータス、期間で検索/フィルタ."</t>
        </is>
      </c>
      <c r="O48" s="3" t="n"/>
      <c r="P48" s="3" t="n"/>
      <c r="Q48" s="3" t="n"/>
      <c r="R48" s="3" t="n"/>
      <c r="S48" s="3" t="n"/>
      <c r="T48" s="3" t="n"/>
      <c r="U48" s="3" t="n"/>
      <c r="V48" s="3" t="n"/>
      <c r="W48" s="3" t="n"/>
      <c r="X48" s="3" t="n"/>
      <c r="Y48" s="3" t="n"/>
      <c r="Z48" s="3" t="n"/>
    </row>
    <row r="49" ht="60" customHeight="1" s="54">
      <c r="A49" s="35" t="inlineStr">
        <is>
          <t>KT-AIC-013</t>
        </is>
      </c>
      <c r="B49" s="41" t="inlineStr">
        <is>
          <t>AIチャット</t>
        </is>
      </c>
      <c r="C49" s="41" t="inlineStr">
        <is>
          <t>クイックアクションカードの使用</t>
        </is>
      </c>
      <c r="D49" s="41" t="inlineStr">
        <is>
          <t>クイックアクションカード「ドキュメントから申請作成」を使用</t>
        </is>
      </c>
      <c r="E49" s="44" t="inlineStr">
        <is>
          <t>基本</t>
        </is>
      </c>
      <c r="F49" s="41" t="inlineStr">
        <is>
          <t>staff@gmail.comでログイン</t>
        </is>
      </c>
      <c r="G49" s="41" t="inlineStr">
        <is>
          <t>1. staff@gmail.comでログイン
2. / で新規チャット（空の状態）にアクセス
3. 3つのアクションカードを確認: 'Create submission from docs'、'Find approval evidence'、'Review submission status'
4. 'Create submission from docs'をクリック
5. AIプロンプトに従う → ringi_en_form_laptop_purchase.docxをアップロード
6. AIのワークフローを確認</t>
        </is>
      </c>
      <c r="H49" s="41" t="inlineStr">
        <is>
          <t>3つのアクションカードが全て表示。クリックでAIワークフローが起動。AIがドキュメントアップロードを促す。アップロード後、AIが申請作成を処理。</t>
        </is>
      </c>
      <c r="I49" s="41" t="inlineStr">
        <is>
          <t>(none)</t>
        </is>
      </c>
      <c r="J49" s="45" t="inlineStr">
        <is>
          <t>P2</t>
        </is>
      </c>
      <c r="K49" s="39" t="inlineStr">
        <is>
          <t>合格</t>
        </is>
      </c>
      <c r="L49" s="53" t="inlineStr">
        <is>
          <t>https://jam.dev/c/b29bbd40-08df-40c9-aa35-c1ede9fad64a</t>
        </is>
      </c>
      <c r="M49" s="41" t="n"/>
      <c r="N49" s="41" t="inlineStr">
        <is>
          <t>Spec 5 (業務フロー), Spec 6.4, Spec 9 (UI/UX)
→ "起案者がチャットから稟議起案フォームを開き、必要項目と添付を入力して送信."</t>
        </is>
      </c>
      <c r="O49" s="3" t="n"/>
      <c r="P49" s="3" t="n"/>
      <c r="Q49" s="3" t="n"/>
      <c r="R49" s="3" t="n"/>
      <c r="S49" s="3" t="n"/>
      <c r="T49" s="3" t="n"/>
      <c r="U49" s="3" t="n"/>
      <c r="V49" s="3" t="n"/>
      <c r="W49" s="3" t="n"/>
      <c r="X49" s="3" t="n"/>
      <c r="Y49" s="3" t="n"/>
      <c r="Z49" s="3" t="n"/>
    </row>
  </sheetData>
  <autoFilter ref="$A$1:$M$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0" customWidth="1" style="54" min="1" max="1"/>
    <col width="14" customWidth="1" style="54" min="2" max="2"/>
    <col width="14" customWidth="1" style="54" min="3" max="3"/>
    <col width="35" customWidth="1" style="54" min="4" max="4"/>
    <col width="50" customWidth="1" style="54" min="5" max="5"/>
    <col width="14" customWidth="1" style="54" min="6" max="6"/>
    <col width="12" customWidth="1" style="54" min="7" max="7"/>
    <col width="45" customWidth="1" style="54" min="8" max="8"/>
    <col width="10" customWidth="1" style="54" min="9" max="9"/>
  </cols>
  <sheetData>
    <row r="1">
      <c r="A1" s="72" t="inlineStr">
        <is>
          <t>Bug ID</t>
        </is>
      </c>
      <c r="B1" s="72" t="inlineStr">
        <is>
          <t>TC-ID</t>
        </is>
      </c>
      <c r="C1" s="72" t="inlineStr">
        <is>
          <t>Category</t>
        </is>
      </c>
      <c r="D1" s="72" t="inlineStr">
        <is>
          <t>Bug Title</t>
        </is>
      </c>
      <c r="E1" s="72" t="inlineStr">
        <is>
          <t>Description</t>
        </is>
      </c>
      <c r="F1" s="72" t="inlineStr">
        <is>
          <t>Type</t>
        </is>
      </c>
      <c r="G1" s="72" t="inlineStr">
        <is>
          <t>Severity</t>
        </is>
      </c>
      <c r="H1" s="72" t="inlineStr">
        <is>
          <t>Evidence</t>
        </is>
      </c>
      <c r="I1" s="72" t="inlineStr">
        <is>
          <t>Status</t>
        </is>
      </c>
    </row>
    <row r="2">
      <c r="A2" s="73" t="inlineStr">
        <is>
          <t>BUG-001</t>
        </is>
      </c>
      <c r="B2" s="73" t="inlineStr">
        <is>
          <t>KT-SUB-001</t>
        </is>
      </c>
      <c r="C2" s="74" t="inlineStr">
        <is>
          <t>Submission</t>
        </is>
      </c>
      <c r="D2" s="74" t="inlineStr">
        <is>
          <t>"Submitted By Staff" shows null</t>
        </is>
      </c>
      <c r="E2" s="74" t="inlineStr">
        <is>
          <t>Subtle bug: "Submitted By" field displays null for staff submissions. The submitter name is not populated correctly.</t>
        </is>
      </c>
      <c r="F2" s="73" t="inlineStr">
        <is>
          <t>Bug</t>
        </is>
      </c>
      <c r="G2" s="75" t="inlineStr">
        <is>
          <t>Major</t>
        </is>
      </c>
      <c r="H2" s="74" t="inlineStr">
        <is>
          <t>https://jam.dev/c/c59ad198-fb75-4953-8e4c-279d811bdcc1</t>
        </is>
      </c>
      <c r="I2" s="73" t="inlineStr">
        <is>
          <t>Open</t>
        </is>
      </c>
    </row>
    <row r="3">
      <c r="A3" s="73" t="inlineStr">
        <is>
          <t>BUG-002</t>
        </is>
      </c>
      <c r="B3" s="73" t="inlineStr">
        <is>
          <t>KT-SUB-001</t>
        </is>
      </c>
      <c r="C3" s="74" t="inlineStr">
        <is>
          <t>Submission</t>
        </is>
      </c>
      <c r="D3" s="74" t="inlineStr">
        <is>
          <t>No Draft submission status (spec requires it)</t>
        </is>
      </c>
      <c r="E3" s="74" t="inlineStr">
        <is>
          <t>System lacks Draft submission status. Spec requires a Draft state before Pending, allowing users to save incomplete submissions.</t>
        </is>
      </c>
      <c r="F3" s="73" t="inlineStr">
        <is>
          <t>Enhancement</t>
        </is>
      </c>
      <c r="G3" s="76" t="inlineStr">
        <is>
          <t>Minor</t>
        </is>
      </c>
      <c r="H3" s="74" t="inlineStr">
        <is>
          <t>https://jam.dev/c/c59ad198-fb75-4953-8e4c-279d811bdcc1</t>
        </is>
      </c>
      <c r="I3" s="73" t="inlineStr">
        <is>
          <t>Open</t>
        </is>
      </c>
    </row>
    <row r="4">
      <c r="A4" s="73" t="inlineStr">
        <is>
          <t>BUG-003</t>
        </is>
      </c>
      <c r="B4" s="73" t="inlineStr">
        <is>
          <t>KT-SUB-002</t>
        </is>
      </c>
      <c r="C4" s="74" t="inlineStr">
        <is>
          <t>Submission</t>
        </is>
      </c>
      <c r="D4" s="74" t="inlineStr">
        <is>
          <t>Tax number display incorrect in form and details</t>
        </is>
      </c>
      <c r="E4" s="74" t="inlineStr">
        <is>
          <t>Subtle bug regarding the tax number in both the submission form and the details view. Tax calculation or display is incorrect.</t>
        </is>
      </c>
      <c r="F4" s="73" t="inlineStr">
        <is>
          <t>Bug</t>
        </is>
      </c>
      <c r="G4" s="75" t="inlineStr">
        <is>
          <t>Major</t>
        </is>
      </c>
      <c r="H4" s="74" t="inlineStr">
        <is>
          <t>https://jam.dev/c/e7c5d836-7e67-4e76-82d7-9d8f3957ce0d</t>
        </is>
      </c>
      <c r="I4" s="73" t="inlineStr">
        <is>
          <t>Open</t>
        </is>
      </c>
    </row>
    <row r="5">
      <c r="A5" s="73" t="inlineStr">
        <is>
          <t>BUG-004</t>
        </is>
      </c>
      <c r="B5" s="73" t="inlineStr">
        <is>
          <t>KT-SUB-003</t>
        </is>
      </c>
      <c r="C5" s="74" t="inlineStr">
        <is>
          <t>Submission</t>
        </is>
      </c>
      <c r="D5" s="74" t="inlineStr">
        <is>
          <t>File click in detail shows XML instead of file</t>
        </is>
      </c>
      <c r="E5" s="74" t="inlineStr">
        <is>
          <t>When clicking on an attached file in the submission detail view, it displays raw XML content instead of the actual file or a proper preview.</t>
        </is>
      </c>
      <c r="F5" s="73" t="inlineStr">
        <is>
          <t>Bug</t>
        </is>
      </c>
      <c r="G5" s="75" t="inlineStr">
        <is>
          <t>Major</t>
        </is>
      </c>
      <c r="H5" s="74" t="inlineStr">
        <is>
          <t>https://jam.dev/c/e5777a3f-6626-4419-92d8-8884a9ef544d</t>
        </is>
      </c>
      <c r="I5" s="73" t="inlineStr">
        <is>
          <t>Open</t>
        </is>
      </c>
    </row>
    <row r="6">
      <c r="A6" s="73" t="inlineStr">
        <is>
          <t>BUG-005</t>
        </is>
      </c>
      <c r="B6" s="73" t="inlineStr">
        <is>
          <t>KT-SUB-009</t>
        </is>
      </c>
      <c r="C6" s="74" t="inlineStr">
        <is>
          <t>Submission</t>
        </is>
      </c>
      <c r="D6" s="74" t="inlineStr">
        <is>
          <t>Upload fails for filename with special/JP chars</t>
        </is>
      </c>
      <c r="E6" s="74" t="inlineStr">
        <is>
          <t>File upload fails or errors when the filename contains special characters or Japanese characters (e.g., edge_special_chars_名前.docx).</t>
        </is>
      </c>
      <c r="F6" s="73" t="inlineStr">
        <is>
          <t>Bug</t>
        </is>
      </c>
      <c r="G6" s="75" t="inlineStr">
        <is>
          <t>Major</t>
        </is>
      </c>
      <c r="H6" s="74" t="inlineStr">
        <is>
          <t>https://jam.dev/c/e9e24876-69bd-4c41-ba8b-0886be4cd867</t>
        </is>
      </c>
      <c r="I6" s="73" t="inlineStr">
        <is>
          <t>Open</t>
        </is>
      </c>
    </row>
    <row r="7">
      <c r="A7" s="73" t="inlineStr">
        <is>
          <t>BUG-006</t>
        </is>
      </c>
      <c r="B7" s="73" t="inlineStr">
        <is>
          <t>KT-SUB-010</t>
        </is>
      </c>
      <c r="C7" s="74" t="inlineStr">
        <is>
          <t>Submission</t>
        </is>
      </c>
      <c r="D7" s="74" t="inlineStr">
        <is>
          <t>Number overflow on very large amount</t>
        </is>
      </c>
      <c r="E7" s="74" t="inlineStr">
        <is>
          <t>Number overflow occurs when entering very large monetary amounts (e.g., $999,999,999,999). The system does not handle large numbers gracefully.</t>
        </is>
      </c>
      <c r="F7" s="73" t="inlineStr">
        <is>
          <t>Bug</t>
        </is>
      </c>
      <c r="G7" s="76" t="inlineStr">
        <is>
          <t>Minor</t>
        </is>
      </c>
      <c r="H7" s="74" t="inlineStr">
        <is>
          <t>https://jam.dev/c/e7cb4064-6b39-4b65-a1e8-e609eef7f6e5</t>
        </is>
      </c>
      <c r="I7" s="73" t="inlineStr">
        <is>
          <t>Open</t>
        </is>
      </c>
    </row>
    <row r="8">
      <c r="A8" s="73" t="inlineStr">
        <is>
          <t>BUG-007</t>
        </is>
      </c>
      <c r="B8" s="73" t="inlineStr">
        <is>
          <t>KT-APR-001</t>
        </is>
      </c>
      <c r="C8" s="74" t="inlineStr">
        <is>
          <t>Approval</t>
        </is>
      </c>
      <c r="D8" s="74" t="inlineStr">
        <is>
          <t>Approval status glitch — shows empty status</t>
        </is>
      </c>
      <c r="E8" s="74" t="inlineStr">
        <is>
          <t>Approval status glitches: shows status briefly then becomes empty. Workaround: login as staff first, logout, then login as manager.</t>
        </is>
      </c>
      <c r="F8" s="73" t="inlineStr">
        <is>
          <t>Bug</t>
        </is>
      </c>
      <c r="G8" s="77" t="inlineStr">
        <is>
          <t>Critical</t>
        </is>
      </c>
      <c r="H8" s="74" t="inlineStr">
        <is>
          <t>https://jam.dev/c/432754ce-879c-4937-a5a1-f315125385af</t>
        </is>
      </c>
      <c r="I8" s="73" t="inlineStr">
        <is>
          <t>Open</t>
        </is>
      </c>
    </row>
    <row r="9">
      <c r="A9" s="73" t="inlineStr">
        <is>
          <t>BUG-008</t>
        </is>
      </c>
      <c r="B9" s="73" t="inlineStr">
        <is>
          <t>KT-AIC-001</t>
        </is>
      </c>
      <c r="C9" s="74" t="inlineStr">
        <is>
          <t>AI Chat</t>
        </is>
      </c>
      <c r="D9" s="74" t="inlineStr">
        <is>
          <t>AI creates submission as Pending instead of Draft</t>
        </is>
      </c>
      <c r="E9" s="74" t="inlineStr">
        <is>
          <t>AI generates ringi with Pending status instead of Draft. This prevents the user from editing the ringi before formal submission.</t>
        </is>
      </c>
      <c r="F9" s="73" t="inlineStr">
        <is>
          <t>Bug</t>
        </is>
      </c>
      <c r="G9" s="77" t="inlineStr">
        <is>
          <t>Critical</t>
        </is>
      </c>
      <c r="H9" s="74" t="inlineStr">
        <is>
          <t>https://jam.dev/c/3ff23937-7197-4d13-9381-65ef837e3113</t>
        </is>
      </c>
      <c r="I9" s="73" t="inlineStr">
        <is>
          <t>Open</t>
        </is>
      </c>
    </row>
    <row r="10">
      <c r="A10" s="73" t="inlineStr">
        <is>
          <t>BUG-009</t>
        </is>
      </c>
      <c r="B10" s="73" t="inlineStr">
        <is>
          <t>KT-AIC-001</t>
        </is>
      </c>
      <c r="C10" s="74" t="inlineStr">
        <is>
          <t>AI Chat</t>
        </is>
      </c>
      <c r="D10" s="74" t="inlineStr">
        <is>
          <t>Edit ringi from AI-created submission has bugs</t>
        </is>
      </c>
      <c r="E10" s="74" t="inlineStr">
        <is>
          <t>When user tries to edit an AI-created ringi submission, the edit form has bugs and does not function correctly.</t>
        </is>
      </c>
      <c r="F10" s="73" t="inlineStr">
        <is>
          <t>Bug</t>
        </is>
      </c>
      <c r="G10" s="75" t="inlineStr">
        <is>
          <t>Major</t>
        </is>
      </c>
      <c r="H10" s="74" t="inlineStr">
        <is>
          <t>https://jam.dev/c/3ff23937-7197-4d13-9381-65ef837e3113</t>
        </is>
      </c>
      <c r="I10" s="73" t="inlineStr">
        <is>
          <t>Open</t>
        </is>
      </c>
    </row>
    <row r="11">
      <c r="A11" s="73" t="inlineStr">
        <is>
          <t>BUG-010</t>
        </is>
      </c>
      <c r="B11" s="73" t="inlineStr">
        <is>
          <t>KT-AIC-002</t>
        </is>
      </c>
      <c r="C11" s="74" t="inlineStr">
        <is>
          <t>AI Chat</t>
        </is>
      </c>
      <c r="D11" s="74" t="inlineStr">
        <is>
          <t>AI asks same questions repeatedly in JP flow</t>
        </is>
      </c>
      <c r="E11" s="74" t="inlineStr">
        <is>
          <t>In Japanese language flow, AI keeps asking the same questions again and again instead of progressing the conversation.</t>
        </is>
      </c>
      <c r="F11" s="73" t="inlineStr">
        <is>
          <t>Bug</t>
        </is>
      </c>
      <c r="G11" s="75" t="inlineStr">
        <is>
          <t>Major</t>
        </is>
      </c>
      <c r="H11" s="74" t="inlineStr">
        <is>
          <t>https://jam.dev/c/37d7d204-3527-4e40-aad0-e51fab33d42a</t>
        </is>
      </c>
      <c r="I11" s="73" t="inlineStr">
        <is>
          <t>Open</t>
        </is>
      </c>
    </row>
    <row r="12">
      <c r="A12" s="73" t="inlineStr">
        <is>
          <t>BUG-011</t>
        </is>
      </c>
      <c r="B12" s="73" t="inlineStr">
        <is>
          <t>KT-AIC-004</t>
        </is>
      </c>
      <c r="C12" s="74" t="inlineStr">
        <is>
          <t>AI Chat</t>
        </is>
      </c>
      <c r="D12" s="74" t="inlineStr">
        <is>
          <t>UI glitch and loader not appearing during AI response</t>
        </is>
      </c>
      <c r="E12" s="74" t="inlineStr">
        <is>
          <t>UI glitch occurs during AI processing. The loading indicator does not appear while waiting for AI response.</t>
        </is>
      </c>
      <c r="F12" s="73" t="inlineStr">
        <is>
          <t>Bug</t>
        </is>
      </c>
      <c r="G12" s="76" t="inlineStr">
        <is>
          <t>Minor</t>
        </is>
      </c>
      <c r="H12" s="74" t="inlineStr">
        <is>
          <t>https://jam.dev/c/40723d7b-aae3-47e5-81e3-d83304091945</t>
        </is>
      </c>
      <c r="I12" s="73" t="inlineStr">
        <is>
          <t>Open</t>
        </is>
      </c>
    </row>
    <row r="13">
      <c r="A13" s="73" t="inlineStr">
        <is>
          <t>BUG-012</t>
        </is>
      </c>
      <c r="B13" s="73" t="inlineStr">
        <is>
          <t>KT-AIC-008</t>
        </is>
      </c>
      <c r="C13" s="74" t="inlineStr">
        <is>
          <t>AI Chat</t>
        </is>
      </c>
      <c r="D13" s="74" t="inlineStr">
        <is>
          <t>AI-created ringi does not comply with minimum required fields</t>
        </is>
      </c>
      <c r="E13" s="74" t="inlineStr">
        <is>
          <t>AI-generated ringi submissions do not comply with the minimum required fields. Some mandatory fields are left empty or invalid.</t>
        </is>
      </c>
      <c r="F13" s="73" t="inlineStr">
        <is>
          <t>Bug</t>
        </is>
      </c>
      <c r="G13" s="75" t="inlineStr">
        <is>
          <t>Major</t>
        </is>
      </c>
      <c r="H13" s="74" t="inlineStr">
        <is>
          <t>https://jam.dev/c/3517856c-1367-41bc-af8b-43a0a096d508</t>
        </is>
      </c>
      <c r="I13" s="73" t="inlineStr">
        <is>
          <t>Open</t>
        </is>
      </c>
    </row>
    <row r="14">
      <c r="A14" s="73" t="inlineStr">
        <is>
          <t>BUG-013</t>
        </is>
      </c>
      <c r="B14" s="73" t="inlineStr">
        <is>
          <t>KT-AIR-001</t>
        </is>
      </c>
      <c r="C14" s="74" t="inlineStr">
        <is>
          <t>AI Retrieval</t>
        </is>
      </c>
      <c r="D14" s="74" t="inlineStr">
        <is>
          <t>Too many pending submissions shown in search results</t>
        </is>
      </c>
      <c r="E14" s="74" t="inlineStr">
        <is>
          <t>AI retrieval shows correct summary but displays too many pending submission files in the results, cluttering the output.</t>
        </is>
      </c>
      <c r="F14" s="73" t="inlineStr">
        <is>
          <t>Bug</t>
        </is>
      </c>
      <c r="G14" s="76" t="inlineStr">
        <is>
          <t>Minor</t>
        </is>
      </c>
      <c r="H14" s="74" t="inlineStr">
        <is>
          <t>https://jam.dev/c/6dfb78f5-bb0d-4d70-a03a-929b74ae0e49</t>
        </is>
      </c>
      <c r="I14" s="73" t="inlineStr">
        <is>
          <t>Open</t>
        </is>
      </c>
    </row>
    <row r="15">
      <c r="A15" s="73" t="inlineStr">
        <is>
          <t>BUG-014</t>
        </is>
      </c>
      <c r="B15" s="73" t="inlineStr">
        <is>
          <t>KT-AIR-002</t>
        </is>
      </c>
      <c r="C15" s="74" t="inlineStr">
        <is>
          <t>AI Retrieval</t>
        </is>
      </c>
      <c r="D15" s="74" t="inlineStr">
        <is>
          <t>Search by document name (monitor) returns no results</t>
        </is>
      </c>
      <c r="E15" s="74" t="inlineStr">
        <is>
          <t>Searching for a document by name (e.g., "monitor") returns no results even though matching documents exist in the system.</t>
        </is>
      </c>
      <c r="F15" s="73" t="inlineStr">
        <is>
          <t>Bug</t>
        </is>
      </c>
      <c r="G15" s="75" t="inlineStr">
        <is>
          <t>Major</t>
        </is>
      </c>
      <c r="H15" s="74" t="inlineStr">
        <is>
          <t>https://jam.dev/c/07e3abd6-675a-4cbd-b172-39321f9f55ec</t>
        </is>
      </c>
      <c r="I15" s="73" t="inlineStr">
        <is>
          <t>Open</t>
        </is>
      </c>
    </row>
    <row r="16">
      <c r="A16" s="73" t="inlineStr">
        <is>
          <t>BUG-015</t>
        </is>
      </c>
      <c r="B16" s="73" t="inlineStr">
        <is>
          <t>KT-AIR-003</t>
        </is>
      </c>
      <c r="C16" s="74" t="inlineStr">
        <is>
          <t>AI Retrieval</t>
        </is>
      </c>
      <c r="D16" s="74" t="inlineStr">
        <is>
          <t>Numbering always shows 1 regardless of actual count</t>
        </is>
      </c>
      <c r="E16" s="74" t="inlineStr">
        <is>
          <t>Result numbering always displays 1 regardless of the actual number of results. All items are numbered as #1.</t>
        </is>
      </c>
      <c r="F16" s="73" t="inlineStr">
        <is>
          <t>Bug</t>
        </is>
      </c>
      <c r="G16" s="75" t="inlineStr">
        <is>
          <t>Major</t>
        </is>
      </c>
      <c r="H16" s="74" t="inlineStr">
        <is>
          <t>https://jam.dev/c/d1931bae-8fb2-47b1-81f8-e6b126a3675b</t>
        </is>
      </c>
      <c r="I16" s="73" t="inlineStr">
        <is>
          <t>Open</t>
        </is>
      </c>
    </row>
    <row r="17">
      <c r="A17" s="73" t="inlineStr">
        <is>
          <t>BUG-016</t>
        </is>
      </c>
      <c r="B17" s="73" t="inlineStr">
        <is>
          <t>KT-AIR-003</t>
        </is>
      </c>
      <c r="C17" s="74" t="inlineStr">
        <is>
          <t>AI Retrieval</t>
        </is>
      </c>
      <c r="D17" s="74" t="inlineStr">
        <is>
          <t>No pagination for large result sets</t>
        </is>
      </c>
      <c r="E17" s="74" t="inlineStr">
        <is>
          <t>No pagination mechanism exists for large result sets. All results are displayed at once, causing long load times.</t>
        </is>
      </c>
      <c r="F17" s="73" t="inlineStr">
        <is>
          <t>Enhancement</t>
        </is>
      </c>
      <c r="G17" s="76" t="inlineStr">
        <is>
          <t>Minor</t>
        </is>
      </c>
      <c r="H17" s="74" t="inlineStr">
        <is>
          <t>https://jam.dev/c/d1931bae-8fb2-47b1-81f8-e6b126a3675b</t>
        </is>
      </c>
      <c r="I17" s="73" t="inlineStr">
        <is>
          <t>Open</t>
        </is>
      </c>
    </row>
    <row r="18">
      <c r="A18" s="73" t="inlineStr">
        <is>
          <t>BUG-017</t>
        </is>
      </c>
      <c r="B18" s="73" t="inlineStr">
        <is>
          <t>KT-AIR-004</t>
        </is>
      </c>
      <c r="C18" s="74" t="inlineStr">
        <is>
          <t>AI Retrieval</t>
        </is>
      </c>
      <c r="D18" s="74" t="inlineStr">
        <is>
          <t>Send button not disabled during processing — allows double submit</t>
        </is>
      </c>
      <c r="E18" s="74" t="inlineStr">
        <is>
          <t>The send/submit button is not disabled while a request is being processed. User can click multiple times, causing duplicate submissions.</t>
        </is>
      </c>
      <c r="F18" s="73" t="inlineStr">
        <is>
          <t>Bug</t>
        </is>
      </c>
      <c r="G18" s="75" t="inlineStr">
        <is>
          <t>Major</t>
        </is>
      </c>
      <c r="H18" s="74" t="inlineStr">
        <is>
          <t>https://jam.dev/c/c2455701-1403-4615-9574-15a0ea25ec9c</t>
        </is>
      </c>
      <c r="I18" s="73" t="inlineStr">
        <is>
          <t>Open</t>
        </is>
      </c>
    </row>
    <row r="19">
      <c r="A19" s="73" t="inlineStr">
        <is>
          <t>BUG-018</t>
        </is>
      </c>
      <c r="B19" s="73" t="inlineStr">
        <is>
          <t>KT-AIR-004</t>
        </is>
      </c>
      <c r="C19" s="74" t="inlineStr">
        <is>
          <t>AI Retrieval</t>
        </is>
      </c>
      <c r="D19" s="74" t="inlineStr">
        <is>
          <t>Response appears twice (duplicate response)</t>
        </is>
      </c>
      <c r="E19" s="74" t="inlineStr">
        <is>
          <t>AI response appears twice in the chat interface. The same answer is rendered as two separate messages.</t>
        </is>
      </c>
      <c r="F19" s="73" t="inlineStr">
        <is>
          <t>Bug</t>
        </is>
      </c>
      <c r="G19" s="75" t="inlineStr">
        <is>
          <t>Major</t>
        </is>
      </c>
      <c r="H19" s="74" t="inlineStr">
        <is>
          <t>https://jam.dev/c/c2455701-1403-4615-9574-15a0ea25ec9c</t>
        </is>
      </c>
      <c r="I19" s="73" t="inlineStr">
        <is>
          <t>Open</t>
        </is>
      </c>
    </row>
    <row r="20">
      <c r="A20" s="73" t="inlineStr">
        <is>
          <t>BUG-019</t>
        </is>
      </c>
      <c r="B20" s="73" t="inlineStr">
        <is>
          <t>KT-AIR-004</t>
        </is>
      </c>
      <c r="C20" s="74" t="inlineStr">
        <is>
          <t>AI Retrieval</t>
        </is>
      </c>
      <c r="D20" s="74" t="inlineStr">
        <is>
          <t>First submit waits excessively long</t>
        </is>
      </c>
      <c r="E20" s="74" t="inlineStr">
        <is>
          <t>The first submission in a session takes an excessively long time to receive a response. Subsequent requests are faster.</t>
        </is>
      </c>
      <c r="F20" s="73" t="inlineStr">
        <is>
          <t>Bug</t>
        </is>
      </c>
      <c r="G20" s="76" t="inlineStr">
        <is>
          <t>Minor</t>
        </is>
      </c>
      <c r="H20" s="74" t="inlineStr">
        <is>
          <t>https://jam.dev/c/c2455701-1403-4615-9574-15a0ea25ec9c</t>
        </is>
      </c>
      <c r="I20" s="73" t="inlineStr">
        <is>
          <t>Open</t>
        </is>
      </c>
    </row>
    <row r="21">
      <c r="A21" s="73" t="inlineStr">
        <is>
          <t>BUG-020</t>
        </is>
      </c>
      <c r="B21" s="73" t="inlineStr">
        <is>
          <t>KT-AIR-005</t>
        </is>
      </c>
      <c r="C21" s="74" t="inlineStr">
        <is>
          <t>AI Retrieval</t>
        </is>
      </c>
      <c r="D21" s="74" t="inlineStr">
        <is>
          <t>Returns all pending requests instead of specific queried one</t>
        </is>
      </c>
      <c r="E21" s="74" t="inlineStr">
        <is>
          <t>When querying for a specific pending request, AI returns all pending requests instead of filtering to the one asked about.</t>
        </is>
      </c>
      <c r="F21" s="73" t="inlineStr">
        <is>
          <t>Bug</t>
        </is>
      </c>
      <c r="G21" s="75" t="inlineStr">
        <is>
          <t>Major</t>
        </is>
      </c>
      <c r="H21" s="74" t="inlineStr">
        <is>
          <t>https://jam.dev/c/b6fabc61-818c-473a-b6b5-d1a8bd6b611a</t>
        </is>
      </c>
      <c r="I21" s="73" t="inlineStr">
        <is>
          <t>Open</t>
        </is>
      </c>
    </row>
    <row r="22">
      <c r="A22" s="73" t="inlineStr">
        <is>
          <t>BUG-021</t>
        </is>
      </c>
      <c r="B22" s="73" t="inlineStr">
        <is>
          <t>KT-AIR-006</t>
        </is>
      </c>
      <c r="C22" s="74" t="inlineStr">
        <is>
          <t>AI Retrieval</t>
        </is>
      </c>
      <c r="D22" s="74" t="inlineStr">
        <is>
          <t>AI hallucinates data for other user's submission</t>
        </is>
      </c>
      <c r="E22" s="74" t="inlineStr">
        <is>
          <t>AI does not show the requested submission but instead hallucinates/fabricates data about another user's submission.</t>
        </is>
      </c>
      <c r="F22" s="73" t="inlineStr">
        <is>
          <t>Bug</t>
        </is>
      </c>
      <c r="G22" s="77" t="inlineStr">
        <is>
          <t>Critical</t>
        </is>
      </c>
      <c r="H22" s="74" t="inlineStr">
        <is>
          <t>https://jam.dev/c/af3d194a-5853-473f-87f7-df2e469fe7c3</t>
        </is>
      </c>
      <c r="I22" s="73" t="inlineStr">
        <is>
          <t>Open</t>
        </is>
      </c>
    </row>
    <row r="23">
      <c r="A23" s="73" t="inlineStr">
        <is>
          <t>BUG-022</t>
        </is>
      </c>
      <c r="B23" s="73" t="inlineStr">
        <is>
          <t>KT-STS-004</t>
        </is>
      </c>
      <c r="C23" s="74" t="inlineStr">
        <is>
          <t>Status</t>
        </is>
      </c>
      <c r="D23" s="74" t="inlineStr">
        <is>
          <t>Request Revision feature not implemented</t>
        </is>
      </c>
      <c r="E23" s="74" t="inlineStr">
        <is>
          <t>The Request Revision (send-back) workflow is not implemented. Manager cannot request changes from the submitter.</t>
        </is>
      </c>
      <c r="F23" s="73" t="inlineStr">
        <is>
          <t>Bug</t>
        </is>
      </c>
      <c r="G23" s="77" t="inlineStr">
        <is>
          <t>Critical</t>
        </is>
      </c>
      <c r="H23" s="74" t="inlineStr"/>
      <c r="I23" s="73" t="inlineStr">
        <is>
          <t>Open</t>
        </is>
      </c>
    </row>
    <row r="24">
      <c r="A24" s="73" t="inlineStr">
        <is>
          <t>BUG-023</t>
        </is>
      </c>
      <c r="B24" s="73" t="inlineStr">
        <is>
          <t>KT-STS-005</t>
        </is>
      </c>
      <c r="C24" s="74" t="inlineStr">
        <is>
          <t>Status</t>
        </is>
      </c>
      <c r="D24" s="74" t="inlineStr">
        <is>
          <t>Cancel submission feature not implemented</t>
        </is>
      </c>
      <c r="E24" s="74" t="inlineStr">
        <is>
          <t>The Cancel submission feature is not implemented. Submitter cannot cancel their own pending submission.</t>
        </is>
      </c>
      <c r="F24" s="73" t="inlineStr">
        <is>
          <t>Bug</t>
        </is>
      </c>
      <c r="G24" s="77" t="inlineStr">
        <is>
          <t>Critical</t>
        </is>
      </c>
      <c r="H24" s="74" t="inlineStr"/>
      <c r="I24" s="73" t="inlineStr">
        <is>
          <t>Open</t>
        </is>
      </c>
    </row>
    <row r="25">
      <c r="A25" s="73" t="inlineStr">
        <is>
          <t>BUG-024</t>
        </is>
      </c>
      <c r="B25" s="73" t="inlineStr">
        <is>
          <t>KT-ROL-001</t>
        </is>
      </c>
      <c r="C25" s="74" t="inlineStr">
        <is>
          <t>User Role</t>
        </is>
      </c>
      <c r="D25" s="74" t="inlineStr">
        <is>
          <t>Previous role's submissions still visible after role change (FE cache bug)</t>
        </is>
      </c>
      <c r="E25" s="74" t="inlineStr">
        <is>
          <t>Client-side (frontend) cache bug: after changing a user's role, the previous role's submissions still appear in the dashboard until hard refresh.</t>
        </is>
      </c>
      <c r="F25" s="73" t="inlineStr">
        <is>
          <t>Bug</t>
        </is>
      </c>
      <c r="G25" s="75" t="inlineStr">
        <is>
          <t>Major</t>
        </is>
      </c>
      <c r="H25" s="74" t="inlineStr">
        <is>
          <t>https://jam.dev/c/c778d93c-439e-47df-9600-95ef39426796</t>
        </is>
      </c>
      <c r="I25" s="73" t="inlineStr">
        <is>
          <t>Open</t>
        </is>
      </c>
    </row>
    <row r="26">
      <c r="A26" s="73" t="inlineStr">
        <is>
          <t>BUG-025</t>
        </is>
      </c>
      <c r="B26" s="73" t="inlineStr">
        <is>
          <t>KT-ROL-002</t>
        </is>
      </c>
      <c r="C26" s="74" t="inlineStr">
        <is>
          <t>User Role</t>
        </is>
      </c>
      <c r="D26" s="74" t="inlineStr">
        <is>
          <t>Manager cannot see staff submissions</t>
        </is>
      </c>
      <c r="E26" s="74" t="inlineStr">
        <is>
          <t>Manager role cannot see staff submissions on the dashboard. Staff-submitted ringi are not visible to the manager.</t>
        </is>
      </c>
      <c r="F26" s="73" t="inlineStr">
        <is>
          <t>Bug</t>
        </is>
      </c>
      <c r="G26" s="77" t="inlineStr">
        <is>
          <t>Critical</t>
        </is>
      </c>
      <c r="H26" s="74" t="inlineStr"/>
      <c r="I26" s="73" t="inlineStr">
        <is>
          <t>Open</t>
        </is>
      </c>
    </row>
    <row r="27">
      <c r="A27" s="73" t="inlineStr">
        <is>
          <t>BUG-026</t>
        </is>
      </c>
      <c r="B27" s="73" t="inlineStr">
        <is>
          <t>KT-ROL-006</t>
        </is>
      </c>
      <c r="C27" s="74" t="inlineStr">
        <is>
          <t>User Role</t>
        </is>
      </c>
      <c r="D27" s="74" t="inlineStr">
        <is>
          <t>Accountant sees empty ringi list</t>
        </is>
      </c>
      <c r="E27" s="74" t="inlineStr">
        <is>
          <t>Accountant role sees an empty ringi list. No submissions are displayed even though they should have read access.</t>
        </is>
      </c>
      <c r="F27" s="73" t="inlineStr">
        <is>
          <t>Bug</t>
        </is>
      </c>
      <c r="G27" s="75" t="inlineStr">
        <is>
          <t>Major</t>
        </is>
      </c>
      <c r="H27" s="74" t="inlineStr">
        <is>
          <t>https://jam.dev/c/76d1929b-f41c-4138-be8a-b6d24c036407</t>
        </is>
      </c>
      <c r="I27" s="73" t="inlineStr">
        <is>
          <t>Open</t>
        </is>
      </c>
    </row>
    <row r="28">
      <c r="A28" s="73" t="inlineStr">
        <is>
          <t>BUG-027</t>
        </is>
      </c>
      <c r="B28" s="73" t="inlineStr">
        <is>
          <t>KT-AIC-010</t>
        </is>
      </c>
      <c r="C28" s="74" t="inlineStr">
        <is>
          <t>AI Chat</t>
        </is>
      </c>
      <c r="D28" s="74" t="inlineStr">
        <is>
          <t>AI cannot differentiate between multiple uploaded ringi files</t>
        </is>
      </c>
      <c r="E28" s="74" t="inlineStr">
        <is>
          <t>When multiple ringi files are uploaded, AI cannot distinguish whether they represent 1 submission or 2 separate submissions.</t>
        </is>
      </c>
      <c r="F28" s="73" t="inlineStr">
        <is>
          <t>Enhancement</t>
        </is>
      </c>
      <c r="G28" s="76" t="inlineStr">
        <is>
          <t>Minor</t>
        </is>
      </c>
      <c r="H28" s="74" t="inlineStr">
        <is>
          <t>https://jam.dev/c/e9294356-f4ce-4bcb-92b1-fa3317f70460</t>
        </is>
      </c>
      <c r="I28" s="73" t="inlineStr">
        <is>
          <t>Open</t>
        </is>
      </c>
    </row>
    <row r="29">
      <c r="A29" s="73" t="inlineStr">
        <is>
          <t>BUG-028</t>
        </is>
      </c>
      <c r="B29" s="73" t="inlineStr">
        <is>
          <t>KT-AIC-011</t>
        </is>
      </c>
      <c r="C29" s="74" t="inlineStr">
        <is>
          <t>AI Chat</t>
        </is>
      </c>
      <c r="D29" s="74" t="inlineStr">
        <is>
          <t>File attachment count shows 0 despite file being submitted</t>
        </is>
      </c>
      <c r="E29" s="74" t="inlineStr">
        <is>
          <t>File attachment count displays 0 even though a file was successfully submitted. The attachment metadata is not updated correctly.</t>
        </is>
      </c>
      <c r="F29" s="73" t="inlineStr">
        <is>
          <t>Bug</t>
        </is>
      </c>
      <c r="G29" s="75" t="inlineStr">
        <is>
          <t>Major</t>
        </is>
      </c>
      <c r="H29" s="74" t="inlineStr">
        <is>
          <t>https://jam.dev/c/23f297ee-bd19-42be-93c5-3d59a25b1c86</t>
        </is>
      </c>
      <c r="I29" s="73" t="inlineStr">
        <is>
          <t>Open</t>
        </is>
      </c>
    </row>
  </sheetData>
  <autoFilter ref="A1:I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0" customWidth="1" style="54" min="1" max="1"/>
    <col width="14" customWidth="1" style="54" min="2" max="2"/>
    <col width="14" customWidth="1" style="54" min="3" max="3"/>
    <col width="35" customWidth="1" style="54" min="4" max="4"/>
    <col width="50" customWidth="1" style="54" min="5" max="5"/>
    <col width="14" customWidth="1" style="54" min="6" max="6"/>
    <col width="12" customWidth="1" style="54" min="7" max="7"/>
    <col width="45" customWidth="1" style="54" min="8" max="8"/>
    <col width="10" customWidth="1" style="54" min="9" max="9"/>
  </cols>
  <sheetData>
    <row r="1">
      <c r="A1" s="72" t="inlineStr">
        <is>
          <t>バグID</t>
        </is>
      </c>
      <c r="B1" s="72" t="inlineStr">
        <is>
          <t>TC-ID</t>
        </is>
      </c>
      <c r="C1" s="72" t="inlineStr">
        <is>
          <t>カテゴリ</t>
        </is>
      </c>
      <c r="D1" s="72" t="inlineStr">
        <is>
          <t>バグタイトル</t>
        </is>
      </c>
      <c r="E1" s="72" t="inlineStr">
        <is>
          <t>説明</t>
        </is>
      </c>
      <c r="F1" s="72" t="inlineStr">
        <is>
          <t>タイプ</t>
        </is>
      </c>
      <c r="G1" s="72" t="inlineStr">
        <is>
          <t>重要度</t>
        </is>
      </c>
      <c r="H1" s="72" t="inlineStr">
        <is>
          <t>エビデンス</t>
        </is>
      </c>
      <c r="I1" s="72" t="inlineStr">
        <is>
          <t>ステータス</t>
        </is>
      </c>
    </row>
    <row r="2">
      <c r="A2" s="73" t="inlineStr">
        <is>
          <t>BUG-001</t>
        </is>
      </c>
      <c r="B2" s="73" t="inlineStr">
        <is>
          <t>KT-SUB-001</t>
        </is>
      </c>
      <c r="C2" s="74" t="inlineStr">
        <is>
          <t>申請</t>
        </is>
      </c>
      <c r="D2" s="74" t="inlineStr">
        <is>
          <t>「申請者: スタッフ」がnullを表示</t>
        </is>
      </c>
      <c r="E2" s="74" t="inlineStr">
        <is>
          <t>微妙なバグ: 「申請者」フィールドがスタッフの申請でnullを表示。申請者名が正しく取得されていない。</t>
        </is>
      </c>
      <c r="F2" s="73" t="inlineStr">
        <is>
          <t>バグ</t>
        </is>
      </c>
      <c r="G2" s="75" t="inlineStr">
        <is>
          <t>重要</t>
        </is>
      </c>
      <c r="H2" s="74" t="inlineStr">
        <is>
          <t>https://jam.dev/c/c59ad198-fb75-4953-8e4c-279d811bdcc1</t>
        </is>
      </c>
      <c r="I2" s="73" t="inlineStr">
        <is>
          <t>未対応</t>
        </is>
      </c>
    </row>
    <row r="3">
      <c r="A3" s="73" t="inlineStr">
        <is>
          <t>BUG-002</t>
        </is>
      </c>
      <c r="B3" s="73" t="inlineStr">
        <is>
          <t>KT-SUB-001</t>
        </is>
      </c>
      <c r="C3" s="74" t="inlineStr">
        <is>
          <t>申請</t>
        </is>
      </c>
      <c r="D3" s="74" t="inlineStr">
        <is>
          <t>下書きステータスがない（仕様では必要）</t>
        </is>
      </c>
      <c r="E3" s="74" t="inlineStr">
        <is>
          <t>システムに下書きステータスがない。仕様では保留中の前に下書き状態が必要で、未完成の申請を保存可能にする。</t>
        </is>
      </c>
      <c r="F3" s="73" t="inlineStr">
        <is>
          <t>改善提案</t>
        </is>
      </c>
      <c r="G3" s="76" t="inlineStr">
        <is>
          <t>軽微</t>
        </is>
      </c>
      <c r="H3" s="74" t="inlineStr">
        <is>
          <t>https://jam.dev/c/c59ad198-fb75-4953-8e4c-279d811bdcc1</t>
        </is>
      </c>
      <c r="I3" s="73" t="inlineStr">
        <is>
          <t>未対応</t>
        </is>
      </c>
    </row>
    <row r="4">
      <c r="A4" s="73" t="inlineStr">
        <is>
          <t>BUG-003</t>
        </is>
      </c>
      <c r="B4" s="73" t="inlineStr">
        <is>
          <t>KT-SUB-002</t>
        </is>
      </c>
      <c r="C4" s="74" t="inlineStr">
        <is>
          <t>申請</t>
        </is>
      </c>
      <c r="D4" s="74" t="inlineStr">
        <is>
          <t>フォームと詳細で税番号の表示が不正</t>
        </is>
      </c>
      <c r="E4" s="74" t="inlineStr">
        <is>
          <t>申請フォームと詳細ビューの両方で税番号に関する微妙なバグ。税計算または表示が不正確。</t>
        </is>
      </c>
      <c r="F4" s="73" t="inlineStr">
        <is>
          <t>バグ</t>
        </is>
      </c>
      <c r="G4" s="75" t="inlineStr">
        <is>
          <t>重要</t>
        </is>
      </c>
      <c r="H4" s="74" t="inlineStr">
        <is>
          <t>https://jam.dev/c/e7c5d836-7e67-4e76-82d7-9d8f3957ce0d</t>
        </is>
      </c>
      <c r="I4" s="73" t="inlineStr">
        <is>
          <t>未対応</t>
        </is>
      </c>
    </row>
    <row r="5">
      <c r="A5" s="73" t="inlineStr">
        <is>
          <t>BUG-004</t>
        </is>
      </c>
      <c r="B5" s="73" t="inlineStr">
        <is>
          <t>KT-SUB-003</t>
        </is>
      </c>
      <c r="C5" s="74" t="inlineStr">
        <is>
          <t>申請</t>
        </is>
      </c>
      <c r="D5" s="74" t="inlineStr">
        <is>
          <t>詳細でファイルクリック時にXMLが表示される</t>
        </is>
      </c>
      <c r="E5" s="74" t="inlineStr">
        <is>
          <t>申請詳細ビューで添付ファイルをクリックすると、実際のファイルではなくXMLコンテンツが表示される。</t>
        </is>
      </c>
      <c r="F5" s="73" t="inlineStr">
        <is>
          <t>バグ</t>
        </is>
      </c>
      <c r="G5" s="75" t="inlineStr">
        <is>
          <t>重要</t>
        </is>
      </c>
      <c r="H5" s="74" t="inlineStr">
        <is>
          <t>https://jam.dev/c/e5777a3f-6626-4419-92d8-8884a9ef544d</t>
        </is>
      </c>
      <c r="I5" s="73" t="inlineStr">
        <is>
          <t>未対応</t>
        </is>
      </c>
    </row>
    <row r="6">
      <c r="A6" s="73" t="inlineStr">
        <is>
          <t>BUG-005</t>
        </is>
      </c>
      <c r="B6" s="73" t="inlineStr">
        <is>
          <t>KT-SUB-009</t>
        </is>
      </c>
      <c r="C6" s="74" t="inlineStr">
        <is>
          <t>申請</t>
        </is>
      </c>
      <c r="D6" s="74" t="inlineStr">
        <is>
          <t>特殊文字/日本語文字のファイル名でアップロード失敗</t>
        </is>
      </c>
      <c r="E6" s="74" t="inlineStr">
        <is>
          <t>ファイル名に特殊文字や日本語文字が含まれている場合、アップロードが失敗またはエラーが発生。</t>
        </is>
      </c>
      <c r="F6" s="73" t="inlineStr">
        <is>
          <t>バグ</t>
        </is>
      </c>
      <c r="G6" s="75" t="inlineStr">
        <is>
          <t>重要</t>
        </is>
      </c>
      <c r="H6" s="74" t="inlineStr">
        <is>
          <t>https://jam.dev/c/e9e24876-69bd-4c41-ba8b-0886be4cd867</t>
        </is>
      </c>
      <c r="I6" s="73" t="inlineStr">
        <is>
          <t>未対応</t>
        </is>
      </c>
    </row>
    <row r="7">
      <c r="A7" s="73" t="inlineStr">
        <is>
          <t>BUG-006</t>
        </is>
      </c>
      <c r="B7" s="73" t="inlineStr">
        <is>
          <t>KT-SUB-010</t>
        </is>
      </c>
      <c r="C7" s="74" t="inlineStr">
        <is>
          <t>申請</t>
        </is>
      </c>
      <c r="D7" s="74" t="inlineStr">
        <is>
          <t>非常に大きな金額で数値オーバーフロー</t>
        </is>
      </c>
      <c r="E7" s="74" t="inlineStr">
        <is>
          <t>非常に大きな金額（例: $999,999,999,999）を入力すると数値オーバーフローが発生。</t>
        </is>
      </c>
      <c r="F7" s="73" t="inlineStr">
        <is>
          <t>バグ</t>
        </is>
      </c>
      <c r="G7" s="76" t="inlineStr">
        <is>
          <t>軽微</t>
        </is>
      </c>
      <c r="H7" s="74" t="inlineStr">
        <is>
          <t>https://jam.dev/c/e7cb4064-6b39-4b65-a1e8-e609eef7f6e5</t>
        </is>
      </c>
      <c r="I7" s="73" t="inlineStr">
        <is>
          <t>未対応</t>
        </is>
      </c>
    </row>
    <row r="8">
      <c r="A8" s="73" t="inlineStr">
        <is>
          <t>BUG-007</t>
        </is>
      </c>
      <c r="B8" s="73" t="inlineStr">
        <is>
          <t>KT-APR-001</t>
        </is>
      </c>
      <c r="C8" s="74" t="inlineStr">
        <is>
          <t>承認</t>
        </is>
      </c>
      <c r="D8" s="74" t="inlineStr">
        <is>
          <t>承認ステータスの不具合 — ステータスが空になる</t>
        </is>
      </c>
      <c r="E8" s="74" t="inlineStr">
        <is>
          <t>承認ステータスが一瞬表示された後空になる不具合。回避策: 先にスタッフでログイン、ログアウト、その後マネージャーでログイン。</t>
        </is>
      </c>
      <c r="F8" s="73" t="inlineStr">
        <is>
          <t>バグ</t>
        </is>
      </c>
      <c r="G8" s="77" t="inlineStr">
        <is>
          <t>重大</t>
        </is>
      </c>
      <c r="H8" s="74" t="inlineStr">
        <is>
          <t>https://jam.dev/c/432754ce-879c-4937-a5a1-f315125385af</t>
        </is>
      </c>
      <c r="I8" s="73" t="inlineStr">
        <is>
          <t>未対応</t>
        </is>
      </c>
    </row>
    <row r="9">
      <c r="A9" s="73" t="inlineStr">
        <is>
          <t>BUG-008</t>
        </is>
      </c>
      <c r="B9" s="73" t="inlineStr">
        <is>
          <t>KT-AIC-001</t>
        </is>
      </c>
      <c r="C9" s="74" t="inlineStr">
        <is>
          <t>AIチャット</t>
        </is>
      </c>
      <c r="D9" s="74" t="inlineStr">
        <is>
          <t>AIが下書きではなく保留中として申請を作成</t>
        </is>
      </c>
      <c r="E9" s="74" t="inlineStr">
        <is>
          <t>AIが下書きではなく保留中ステータスで稿議を生成。ユーザーが正式申請前に稿議を編集できない。</t>
        </is>
      </c>
      <c r="F9" s="73" t="inlineStr">
        <is>
          <t>バグ</t>
        </is>
      </c>
      <c r="G9" s="77" t="inlineStr">
        <is>
          <t>重大</t>
        </is>
      </c>
      <c r="H9" s="74" t="inlineStr">
        <is>
          <t>https://jam.dev/c/3ff23937-7197-4d13-9381-65ef837e3113</t>
        </is>
      </c>
      <c r="I9" s="73" t="inlineStr">
        <is>
          <t>未対応</t>
        </is>
      </c>
    </row>
    <row r="10">
      <c r="A10" s="73" t="inlineStr">
        <is>
          <t>BUG-009</t>
        </is>
      </c>
      <c r="B10" s="73" t="inlineStr">
        <is>
          <t>KT-AIC-001</t>
        </is>
      </c>
      <c r="C10" s="74" t="inlineStr">
        <is>
          <t>AIチャット</t>
        </is>
      </c>
      <c r="D10" s="74" t="inlineStr">
        <is>
          <t>AI作成の稿議編集にバグあり</t>
        </is>
      </c>
      <c r="E10" s="74" t="inlineStr">
        <is>
          <t>AIが作成した稿議申請を編集しようとすると、編集フォームにバグがあり正常に動作しない。</t>
        </is>
      </c>
      <c r="F10" s="73" t="inlineStr">
        <is>
          <t>バグ</t>
        </is>
      </c>
      <c r="G10" s="75" t="inlineStr">
        <is>
          <t>重要</t>
        </is>
      </c>
      <c r="H10" s="74" t="inlineStr">
        <is>
          <t>https://jam.dev/c/3ff23937-7197-4d13-9381-65ef837e3113</t>
        </is>
      </c>
      <c r="I10" s="73" t="inlineStr">
        <is>
          <t>未対応</t>
        </is>
      </c>
    </row>
    <row r="11">
      <c r="A11" s="73" t="inlineStr">
        <is>
          <t>BUG-010</t>
        </is>
      </c>
      <c r="B11" s="73" t="inlineStr">
        <is>
          <t>KT-AIC-002</t>
        </is>
      </c>
      <c r="C11" s="74" t="inlineStr">
        <is>
          <t>AIチャット</t>
        </is>
      </c>
      <c r="D11" s="74" t="inlineStr">
        <is>
          <t>AIが日本語フローで同じ質問を繰り返す</t>
        </is>
      </c>
      <c r="E11" s="74" t="inlineStr">
        <is>
          <t>日本語フローでAIが会話を進めずに同じ質問を繰り返し続ける。</t>
        </is>
      </c>
      <c r="F11" s="73" t="inlineStr">
        <is>
          <t>バグ</t>
        </is>
      </c>
      <c r="G11" s="75" t="inlineStr">
        <is>
          <t>重要</t>
        </is>
      </c>
      <c r="H11" s="74" t="inlineStr">
        <is>
          <t>https://jam.dev/c/37d7d204-3527-4e40-aad0-e51fab33d42a</t>
        </is>
      </c>
      <c r="I11" s="73" t="inlineStr">
        <is>
          <t>未対応</t>
        </is>
      </c>
    </row>
    <row r="12">
      <c r="A12" s="73" t="inlineStr">
        <is>
          <t>BUG-011</t>
        </is>
      </c>
      <c r="B12" s="73" t="inlineStr">
        <is>
          <t>KT-AIC-004</t>
        </is>
      </c>
      <c r="C12" s="74" t="inlineStr">
        <is>
          <t>AIチャット</t>
        </is>
      </c>
      <c r="D12" s="74" t="inlineStr">
        <is>
          <t>UI不具合とAI応答中にローダーが表示されない</t>
        </is>
      </c>
      <c r="E12" s="74" t="inlineStr">
        <is>
          <t>AI処理中にUI不具合が発生。AI応答待ち中にローディングインジケーターが表示されない。</t>
        </is>
      </c>
      <c r="F12" s="73" t="inlineStr">
        <is>
          <t>バグ</t>
        </is>
      </c>
      <c r="G12" s="76" t="inlineStr">
        <is>
          <t>軽微</t>
        </is>
      </c>
      <c r="H12" s="74" t="inlineStr">
        <is>
          <t>https://jam.dev/c/40723d7b-aae3-47e5-81e3-d83304091945</t>
        </is>
      </c>
      <c r="I12" s="73" t="inlineStr">
        <is>
          <t>未対応</t>
        </is>
      </c>
    </row>
    <row r="13">
      <c r="A13" s="73" t="inlineStr">
        <is>
          <t>BUG-012</t>
        </is>
      </c>
      <c r="B13" s="73" t="inlineStr">
        <is>
          <t>KT-AIC-008</t>
        </is>
      </c>
      <c r="C13" s="74" t="inlineStr">
        <is>
          <t>AIチャット</t>
        </is>
      </c>
      <c r="D13" s="74" t="inlineStr">
        <is>
          <t>AI作成の稿議が最低必須項目に準拠していない</t>
        </is>
      </c>
      <c r="E13" s="74" t="inlineStr">
        <is>
          <t>AIが生成した稿議申請が最低必須項目に準拠していない。一部の必須項目が空または無効。</t>
        </is>
      </c>
      <c r="F13" s="73" t="inlineStr">
        <is>
          <t>バグ</t>
        </is>
      </c>
      <c r="G13" s="75" t="inlineStr">
        <is>
          <t>重要</t>
        </is>
      </c>
      <c r="H13" s="74" t="inlineStr">
        <is>
          <t>https://jam.dev/c/3517856c-1367-41bc-af8b-43a0a096d508</t>
        </is>
      </c>
      <c r="I13" s="73" t="inlineStr">
        <is>
          <t>未対応</t>
        </is>
      </c>
    </row>
    <row r="14">
      <c r="A14" s="73" t="inlineStr">
        <is>
          <t>BUG-013</t>
        </is>
      </c>
      <c r="B14" s="73" t="inlineStr">
        <is>
          <t>KT-AIR-001</t>
        </is>
      </c>
      <c r="C14" s="74" t="inlineStr">
        <is>
          <t>AI検索</t>
        </is>
      </c>
      <c r="D14" s="74" t="inlineStr">
        <is>
          <t>検索結果に保留中の申請が多すぎる</t>
        </is>
      </c>
      <c r="E14" s="74" t="inlineStr">
        <is>
          <t>AI検索は正確な要約を表示するが、保留中の申請ファイルが多すぎて結果が雑然とする。</t>
        </is>
      </c>
      <c r="F14" s="73" t="inlineStr">
        <is>
          <t>バグ</t>
        </is>
      </c>
      <c r="G14" s="76" t="inlineStr">
        <is>
          <t>軽微</t>
        </is>
      </c>
      <c r="H14" s="74" t="inlineStr">
        <is>
          <t>https://jam.dev/c/6dfb78f5-bb0d-4d70-a03a-929b74ae0e49</t>
        </is>
      </c>
      <c r="I14" s="73" t="inlineStr">
        <is>
          <t>未対応</t>
        </is>
      </c>
    </row>
    <row r="15">
      <c r="A15" s="73" t="inlineStr">
        <is>
          <t>BUG-014</t>
        </is>
      </c>
      <c r="B15" s="73" t="inlineStr">
        <is>
          <t>KT-AIR-002</t>
        </is>
      </c>
      <c r="C15" s="74" t="inlineStr">
        <is>
          <t>AI検索</t>
        </is>
      </c>
      <c r="D15" s="74" t="inlineStr">
        <is>
          <t>ドキュメント名（モニター）で検索しても結果が返らない</t>
        </is>
      </c>
      <c r="E15" s="74" t="inlineStr">
        <is>
          <t>ドキュメント名（例: 「モニター」）で検索しても、一致するドキュメントが存在するにも関わらず結果が返らない。</t>
        </is>
      </c>
      <c r="F15" s="73" t="inlineStr">
        <is>
          <t>バグ</t>
        </is>
      </c>
      <c r="G15" s="75" t="inlineStr">
        <is>
          <t>重要</t>
        </is>
      </c>
      <c r="H15" s="74" t="inlineStr">
        <is>
          <t>https://jam.dev/c/07e3abd6-675a-4cbd-b172-39321f9f55ec</t>
        </is>
      </c>
      <c r="I15" s="73" t="inlineStr">
        <is>
          <t>未対応</t>
        </is>
      </c>
    </row>
    <row r="16">
      <c r="A16" s="73" t="inlineStr">
        <is>
          <t>BUG-015</t>
        </is>
      </c>
      <c r="B16" s="73" t="inlineStr">
        <is>
          <t>KT-AIR-003</t>
        </is>
      </c>
      <c r="C16" s="74" t="inlineStr">
        <is>
          <t>AI検索</t>
        </is>
      </c>
      <c r="D16" s="74" t="inlineStr">
        <is>
          <t>実際の件数に関係なく番号が常に1を表示</t>
        </is>
      </c>
      <c r="E16" s="74" t="inlineStr">
        <is>
          <t>結果の番号付けが実際の結果数に関係なく常に1を表示。全てのアイテムが#1と番号付けされる。</t>
        </is>
      </c>
      <c r="F16" s="73" t="inlineStr">
        <is>
          <t>バグ</t>
        </is>
      </c>
      <c r="G16" s="75" t="inlineStr">
        <is>
          <t>重要</t>
        </is>
      </c>
      <c r="H16" s="74" t="inlineStr">
        <is>
          <t>https://jam.dev/c/d1931bae-8fb2-47b1-81f8-e6b126a3675b</t>
        </is>
      </c>
      <c r="I16" s="73" t="inlineStr">
        <is>
          <t>未対応</t>
        </is>
      </c>
    </row>
    <row r="17">
      <c r="A17" s="73" t="inlineStr">
        <is>
          <t>BUG-016</t>
        </is>
      </c>
      <c r="B17" s="73" t="inlineStr">
        <is>
          <t>KT-AIR-003</t>
        </is>
      </c>
      <c r="C17" s="74" t="inlineStr">
        <is>
          <t>AI検索</t>
        </is>
      </c>
      <c r="D17" s="74" t="inlineStr">
        <is>
          <t>大量の結果セットにページネーションがない</t>
        </is>
      </c>
      <c r="E17" s="74" t="inlineStr">
        <is>
          <t>大量の結果セットにページネーション機構がない。全ての結果が一度に表示され、読み込み時間が長くなる。</t>
        </is>
      </c>
      <c r="F17" s="73" t="inlineStr">
        <is>
          <t>改善提案</t>
        </is>
      </c>
      <c r="G17" s="76" t="inlineStr">
        <is>
          <t>軽微</t>
        </is>
      </c>
      <c r="H17" s="74" t="inlineStr">
        <is>
          <t>https://jam.dev/c/d1931bae-8fb2-47b1-81f8-e6b126a3675b</t>
        </is>
      </c>
      <c r="I17" s="73" t="inlineStr">
        <is>
          <t>未対応</t>
        </is>
      </c>
    </row>
    <row r="18">
      <c r="A18" s="73" t="inlineStr">
        <is>
          <t>BUG-017</t>
        </is>
      </c>
      <c r="B18" s="73" t="inlineStr">
        <is>
          <t>KT-AIR-004</t>
        </is>
      </c>
      <c r="C18" s="74" t="inlineStr">
        <is>
          <t>AI検索</t>
        </is>
      </c>
      <c r="D18" s="74" t="inlineStr">
        <is>
          <t>処理中に送信ボタンが無効化されない — 二重送信可能</t>
        </is>
      </c>
      <c r="E18" s="74" t="inlineStr">
        <is>
          <t>リクエスト処理中に送信/提出ボタンが無効化されない。複数回クリックでき、重複送信が発生。</t>
        </is>
      </c>
      <c r="F18" s="73" t="inlineStr">
        <is>
          <t>バグ</t>
        </is>
      </c>
      <c r="G18" s="75" t="inlineStr">
        <is>
          <t>重要</t>
        </is>
      </c>
      <c r="H18" s="74" t="inlineStr">
        <is>
          <t>https://jam.dev/c/c2455701-1403-4615-9574-15a0ea25ec9c</t>
        </is>
      </c>
      <c r="I18" s="73" t="inlineStr">
        <is>
          <t>未対応</t>
        </is>
      </c>
    </row>
    <row r="19">
      <c r="A19" s="73" t="inlineStr">
        <is>
          <t>BUG-018</t>
        </is>
      </c>
      <c r="B19" s="73" t="inlineStr">
        <is>
          <t>KT-AIR-004</t>
        </is>
      </c>
      <c r="C19" s="74" t="inlineStr">
        <is>
          <t>AI検索</t>
        </is>
      </c>
      <c r="D19" s="74" t="inlineStr">
        <is>
          <t>レスポンスが2回表示される（重複レスポンス）</t>
        </is>
      </c>
      <c r="E19" s="74" t="inlineStr">
        <is>
          <t>AIのレスポンスがチャットインターフェースに2回表示される。同じ回答が2つの別々のメッセージとしてレンダリング。</t>
        </is>
      </c>
      <c r="F19" s="73" t="inlineStr">
        <is>
          <t>バグ</t>
        </is>
      </c>
      <c r="G19" s="75" t="inlineStr">
        <is>
          <t>重要</t>
        </is>
      </c>
      <c r="H19" s="74" t="inlineStr">
        <is>
          <t>https://jam.dev/c/c2455701-1403-4615-9574-15a0ea25ec9c</t>
        </is>
      </c>
      <c r="I19" s="73" t="inlineStr">
        <is>
          <t>未対応</t>
        </is>
      </c>
    </row>
    <row r="20">
      <c r="A20" s="73" t="inlineStr">
        <is>
          <t>BUG-019</t>
        </is>
      </c>
      <c r="B20" s="73" t="inlineStr">
        <is>
          <t>KT-AIR-004</t>
        </is>
      </c>
      <c r="C20" s="74" t="inlineStr">
        <is>
          <t>AI検索</t>
        </is>
      </c>
      <c r="D20" s="74" t="inlineStr">
        <is>
          <t>最初の送信が過度に長く待つ</t>
        </is>
      </c>
      <c r="E20" s="74" t="inlineStr">
        <is>
          <t>セッションの最初の送信が応答を受け取るまで非常に長い時間がかかる。その後のリクエストはより速い。</t>
        </is>
      </c>
      <c r="F20" s="73" t="inlineStr">
        <is>
          <t>バグ</t>
        </is>
      </c>
      <c r="G20" s="76" t="inlineStr">
        <is>
          <t>軽微</t>
        </is>
      </c>
      <c r="H20" s="74" t="inlineStr">
        <is>
          <t>https://jam.dev/c/c2455701-1403-4615-9574-15a0ea25ec9c</t>
        </is>
      </c>
      <c r="I20" s="73" t="inlineStr">
        <is>
          <t>未対応</t>
        </is>
      </c>
    </row>
    <row r="21">
      <c r="A21" s="73" t="inlineStr">
        <is>
          <t>BUG-020</t>
        </is>
      </c>
      <c r="B21" s="73" t="inlineStr">
        <is>
          <t>KT-AIR-005</t>
        </is>
      </c>
      <c r="C21" s="74" t="inlineStr">
        <is>
          <t>AI検索</t>
        </is>
      </c>
      <c r="D21" s="74" t="inlineStr">
        <is>
          <t>特定のクエリではなく全ての保留中リクエストを返す</t>
        </is>
      </c>
      <c r="E21" s="74" t="inlineStr">
        <is>
          <t>特定の保留中リクエストをクエリすると、フィルタリングせずに全ての保留中リクエストを返す。</t>
        </is>
      </c>
      <c r="F21" s="73" t="inlineStr">
        <is>
          <t>バグ</t>
        </is>
      </c>
      <c r="G21" s="75" t="inlineStr">
        <is>
          <t>重要</t>
        </is>
      </c>
      <c r="H21" s="74" t="inlineStr">
        <is>
          <t>https://jam.dev/c/b6fabc61-818c-473a-b6b5-d1a8bd6b611a</t>
        </is>
      </c>
      <c r="I21" s="73" t="inlineStr">
        <is>
          <t>未対応</t>
        </is>
      </c>
    </row>
    <row r="22">
      <c r="A22" s="73" t="inlineStr">
        <is>
          <t>BUG-021</t>
        </is>
      </c>
      <c r="B22" s="73" t="inlineStr">
        <is>
          <t>KT-AIR-006</t>
        </is>
      </c>
      <c r="C22" s="74" t="inlineStr">
        <is>
          <t>AI検索</t>
        </is>
      </c>
      <c r="D22" s="74" t="inlineStr">
        <is>
          <t>AIが他のユーザーの申請データを捜造する</t>
        </is>
      </c>
      <c r="E22" s="74" t="inlineStr">
        <is>
          <t>AIが要求された申請を表示せず、他のユーザーの申請についてデータを捜造/ハルシネーションする。</t>
        </is>
      </c>
      <c r="F22" s="73" t="inlineStr">
        <is>
          <t>バグ</t>
        </is>
      </c>
      <c r="G22" s="77" t="inlineStr">
        <is>
          <t>重大</t>
        </is>
      </c>
      <c r="H22" s="74" t="inlineStr">
        <is>
          <t>https://jam.dev/c/af3d194a-5853-473f-87f7-df2e469fe7c3</t>
        </is>
      </c>
      <c r="I22" s="73" t="inlineStr">
        <is>
          <t>未対応</t>
        </is>
      </c>
    </row>
    <row r="23">
      <c r="A23" s="73" t="inlineStr">
        <is>
          <t>BUG-022</t>
        </is>
      </c>
      <c r="B23" s="73" t="inlineStr">
        <is>
          <t>KT-STS-004</t>
        </is>
      </c>
      <c r="C23" s="74" t="inlineStr">
        <is>
          <t>ステータス</t>
        </is>
      </c>
      <c r="D23" s="74" t="inlineStr">
        <is>
          <t>修正依頼機能が未実装</t>
        </is>
      </c>
      <c r="E23" s="74" t="inlineStr">
        <is>
          <t>修正依頼（差戳し）ワークフローが未実装。マネージャーが申請者に変更を要求できない。</t>
        </is>
      </c>
      <c r="F23" s="73" t="inlineStr">
        <is>
          <t>バグ</t>
        </is>
      </c>
      <c r="G23" s="77" t="inlineStr">
        <is>
          <t>重大</t>
        </is>
      </c>
      <c r="H23" s="74" t="inlineStr"/>
      <c r="I23" s="73" t="inlineStr">
        <is>
          <t>未対応</t>
        </is>
      </c>
    </row>
    <row r="24">
      <c r="A24" s="73" t="inlineStr">
        <is>
          <t>BUG-023</t>
        </is>
      </c>
      <c r="B24" s="73" t="inlineStr">
        <is>
          <t>KT-STS-005</t>
        </is>
      </c>
      <c r="C24" s="74" t="inlineStr">
        <is>
          <t>ステータス</t>
        </is>
      </c>
      <c r="D24" s="74" t="inlineStr">
        <is>
          <t>申請取消機能が未実装</t>
        </is>
      </c>
      <c r="E24" s="74" t="inlineStr">
        <is>
          <t>申請取消機能が未実装。申請者が自分の保留中の申請を取り消せない。</t>
        </is>
      </c>
      <c r="F24" s="73" t="inlineStr">
        <is>
          <t>バグ</t>
        </is>
      </c>
      <c r="G24" s="77" t="inlineStr">
        <is>
          <t>重大</t>
        </is>
      </c>
      <c r="H24" s="74" t="inlineStr"/>
      <c r="I24" s="73" t="inlineStr">
        <is>
          <t>未対応</t>
        </is>
      </c>
    </row>
    <row r="25">
      <c r="A25" s="73" t="inlineStr">
        <is>
          <t>BUG-024</t>
        </is>
      </c>
      <c r="B25" s="73" t="inlineStr">
        <is>
          <t>KT-ROL-001</t>
        </is>
      </c>
      <c r="C25" s="74" t="inlineStr">
        <is>
          <t>ユーザーロール</t>
        </is>
      </c>
      <c r="D25" s="74" t="inlineStr">
        <is>
          <t>ロール変更後に前のロールの申請が表示される（FEキャッシュバグ）</t>
        </is>
      </c>
      <c r="E25" s="74" t="inlineStr">
        <is>
          <t>クライアントサイド（フロントエンド）のキャッシュバグ: ロール変更後、ハードリフレッシュまで前のロールの申請がダッシュボードに表示される。</t>
        </is>
      </c>
      <c r="F25" s="73" t="inlineStr">
        <is>
          <t>バグ</t>
        </is>
      </c>
      <c r="G25" s="75" t="inlineStr">
        <is>
          <t>重要</t>
        </is>
      </c>
      <c r="H25" s="74" t="inlineStr">
        <is>
          <t>https://jam.dev/c/c778d93c-439e-47df-9600-95ef39426796</t>
        </is>
      </c>
      <c r="I25" s="73" t="inlineStr">
        <is>
          <t>未対応</t>
        </is>
      </c>
    </row>
    <row r="26">
      <c r="A26" s="73" t="inlineStr">
        <is>
          <t>BUG-025</t>
        </is>
      </c>
      <c r="B26" s="73" t="inlineStr">
        <is>
          <t>KT-ROL-002</t>
        </is>
      </c>
      <c r="C26" s="74" t="inlineStr">
        <is>
          <t>ユーザーロール</t>
        </is>
      </c>
      <c r="D26" s="74" t="inlineStr">
        <is>
          <t>マネージャーがスタッフの申請を見れない</t>
        </is>
      </c>
      <c r="E26" s="74" t="inlineStr">
        <is>
          <t>マネージャーロールがダッシュボードでスタッフの申請を見ることができない。</t>
        </is>
      </c>
      <c r="F26" s="73" t="inlineStr">
        <is>
          <t>バグ</t>
        </is>
      </c>
      <c r="G26" s="77" t="inlineStr">
        <is>
          <t>重大</t>
        </is>
      </c>
      <c r="H26" s="74" t="inlineStr"/>
      <c r="I26" s="73" t="inlineStr">
        <is>
          <t>未対応</t>
        </is>
      </c>
    </row>
    <row r="27">
      <c r="A27" s="73" t="inlineStr">
        <is>
          <t>BUG-026</t>
        </is>
      </c>
      <c r="B27" s="73" t="inlineStr">
        <is>
          <t>KT-ROL-006</t>
        </is>
      </c>
      <c r="C27" s="74" t="inlineStr">
        <is>
          <t>ユーザーロール</t>
        </is>
      </c>
      <c r="D27" s="74" t="inlineStr">
        <is>
          <t>経理担当者の稿議リストが空</t>
        </is>
      </c>
      <c r="E27" s="74" t="inlineStr">
        <is>
          <t>経理担当者ロールが空の稿議リストを表示。読み取りアクセスがあるはずの申請が表示されない。</t>
        </is>
      </c>
      <c r="F27" s="73" t="inlineStr">
        <is>
          <t>バグ</t>
        </is>
      </c>
      <c r="G27" s="75" t="inlineStr">
        <is>
          <t>重要</t>
        </is>
      </c>
      <c r="H27" s="74" t="inlineStr">
        <is>
          <t>https://jam.dev/c/76d1929b-f41c-4138-be8a-b6d24c036407</t>
        </is>
      </c>
      <c r="I27" s="73" t="inlineStr">
        <is>
          <t>未対応</t>
        </is>
      </c>
    </row>
    <row r="28">
      <c r="A28" s="73" t="inlineStr">
        <is>
          <t>BUG-027</t>
        </is>
      </c>
      <c r="B28" s="73" t="inlineStr">
        <is>
          <t>KT-AIC-010</t>
        </is>
      </c>
      <c r="C28" s="74" t="inlineStr">
        <is>
          <t>AIチャット</t>
        </is>
      </c>
      <c r="D28" s="74" t="inlineStr">
        <is>
          <t>AIが複数アップロードの稿議ファイルを区別できない</t>
        </is>
      </c>
      <c r="E28" s="74" t="inlineStr">
        <is>
          <t>複数の稿議ファイルをアップロードした場合、AIが1件の申請か2件の別々の申請かを区別できない。</t>
        </is>
      </c>
      <c r="F28" s="73" t="inlineStr">
        <is>
          <t>改善提案</t>
        </is>
      </c>
      <c r="G28" s="76" t="inlineStr">
        <is>
          <t>軽微</t>
        </is>
      </c>
      <c r="H28" s="74" t="inlineStr">
        <is>
          <t>https://jam.dev/c/e9294356-f4ce-4bcb-92b1-fa3317f70460</t>
        </is>
      </c>
      <c r="I28" s="73" t="inlineStr">
        <is>
          <t>未対応</t>
        </is>
      </c>
    </row>
    <row r="29">
      <c r="A29" s="73" t="inlineStr">
        <is>
          <t>BUG-028</t>
        </is>
      </c>
      <c r="B29" s="73" t="inlineStr">
        <is>
          <t>KT-AIC-011</t>
        </is>
      </c>
      <c r="C29" s="74" t="inlineStr">
        <is>
          <t>AIチャット</t>
        </is>
      </c>
      <c r="D29" s="74" t="inlineStr">
        <is>
          <t>ファイルが送信されているのに添付ファイル数が0を表示</t>
        </is>
      </c>
      <c r="E29" s="74" t="inlineStr">
        <is>
          <t>ファイルが正常に送信されたにもかかわらず、添付ファイル数が0を表示。添付メタデータが正しく更新されていない。</t>
        </is>
      </c>
      <c r="F29" s="73" t="inlineStr">
        <is>
          <t>バグ</t>
        </is>
      </c>
      <c r="G29" s="75" t="inlineStr">
        <is>
          <t>重要</t>
        </is>
      </c>
      <c r="H29" s="74" t="inlineStr">
        <is>
          <t>https://jam.dev/c/23f297ee-bd19-42be-93c5-3d59a25b1c86</t>
        </is>
      </c>
      <c r="I29" s="73" t="inlineStr">
        <is>
          <t>未対応</t>
        </is>
      </c>
    </row>
  </sheetData>
  <autoFilter ref="A1:I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2026-02-14T16:31:07Z</dcterms:created>
  <dcterms:modified xmlns:dcterms="http://purl.org/dc/terms/" xmlns:xsi="http://www.w3.org/2001/XMLSchema-instance" xsi:type="dcterms:W3CDTF">2026-02-15T21:43:22Z</dcterms:modified>
</cp:coreProperties>
</file>